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8_{39D77CE6-29D5-46E2-AD4B-1DE43DC25A05}" xr6:coauthVersionLast="47" xr6:coauthVersionMax="47" xr10:uidLastSave="{00000000-0000-0000-0000-000000000000}"/>
  <bookViews>
    <workbookView xWindow="-120" yWindow="-120" windowWidth="29040" windowHeight="15720" xr2:uid="{A300D95A-100A-46D5-9A49-5544A61B73A6}"/>
  </bookViews>
  <sheets>
    <sheet name="Exercício 1 " sheetId="1" r:id="rId1"/>
    <sheet name="Exercíco 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2" l="1"/>
  <c r="C16" i="2"/>
  <c r="D16" i="2"/>
  <c r="E16" i="2"/>
  <c r="F16" i="2"/>
  <c r="G16" i="2"/>
  <c r="D18" i="2"/>
  <c r="C18" i="2"/>
  <c r="E18" i="2"/>
  <c r="F18" i="2"/>
  <c r="G18" i="2"/>
  <c r="B18" i="2"/>
  <c r="B20" i="1"/>
  <c r="D18" i="1"/>
  <c r="E18" i="1"/>
  <c r="F18" i="1"/>
  <c r="G18" i="1"/>
  <c r="H18" i="1"/>
  <c r="I18" i="1"/>
  <c r="C18" i="1"/>
  <c r="I12" i="1"/>
  <c r="I13" i="1"/>
  <c r="I14" i="1"/>
  <c r="I15" i="1"/>
  <c r="I16" i="1"/>
  <c r="I17" i="1"/>
  <c r="H12" i="1"/>
  <c r="H13" i="1"/>
  <c r="H14" i="1"/>
  <c r="H15" i="1"/>
  <c r="H16" i="1"/>
  <c r="H17" i="1"/>
  <c r="G12" i="1"/>
  <c r="G13" i="1"/>
  <c r="G14" i="1"/>
  <c r="G15" i="1"/>
  <c r="G16" i="1"/>
  <c r="G17" i="1"/>
  <c r="F13" i="1"/>
  <c r="F12" i="1"/>
  <c r="F14" i="1"/>
  <c r="F15" i="1"/>
  <c r="F16" i="1"/>
  <c r="F17" i="1"/>
  <c r="D9" i="1"/>
  <c r="E9" i="1"/>
  <c r="F9" i="1"/>
  <c r="G9" i="1"/>
  <c r="H9" i="1"/>
  <c r="I9" i="1"/>
  <c r="C9" i="1"/>
  <c r="I4" i="1"/>
  <c r="I5" i="1"/>
  <c r="I6" i="1"/>
  <c r="I7" i="1"/>
  <c r="I8" i="1"/>
  <c r="I3" i="1"/>
  <c r="H4" i="1"/>
  <c r="H5" i="1"/>
  <c r="H6" i="1"/>
  <c r="H7" i="1"/>
  <c r="H8" i="1"/>
  <c r="H3" i="1"/>
  <c r="G4" i="1"/>
  <c r="G5" i="1"/>
  <c r="G6" i="1"/>
  <c r="G7" i="1"/>
  <c r="G8" i="1"/>
  <c r="G3" i="1"/>
  <c r="F4" i="1"/>
  <c r="F5" i="1"/>
  <c r="F6" i="1"/>
  <c r="F7" i="1"/>
  <c r="F8" i="1"/>
  <c r="F3" i="1"/>
</calcChain>
</file>

<file path=xl/sharedStrings.xml><?xml version="1.0" encoding="utf-8"?>
<sst xmlns="http://schemas.openxmlformats.org/spreadsheetml/2006/main" count="61" uniqueCount="44">
  <si>
    <t>Mecânica S.A.</t>
  </si>
  <si>
    <t>Código</t>
  </si>
  <si>
    <t>Produto</t>
  </si>
  <si>
    <t>Janeiro</t>
  </si>
  <si>
    <t>Fevereiro</t>
  </si>
  <si>
    <t xml:space="preserve"> Março</t>
  </si>
  <si>
    <t>Máximo</t>
  </si>
  <si>
    <t>Mínimo</t>
  </si>
  <si>
    <t>Média</t>
  </si>
  <si>
    <t>Porca</t>
  </si>
  <si>
    <t>Parafuso</t>
  </si>
  <si>
    <t>Arruela</t>
  </si>
  <si>
    <t>Prego</t>
  </si>
  <si>
    <t>Alicate</t>
  </si>
  <si>
    <t>Martelo</t>
  </si>
  <si>
    <t>Totais:</t>
  </si>
  <si>
    <t>.</t>
  </si>
  <si>
    <t>Total - 1°Trimestre</t>
  </si>
  <si>
    <t>Abril</t>
  </si>
  <si>
    <t>Maio</t>
  </si>
  <si>
    <t>Junho</t>
  </si>
  <si>
    <t>Total - 2°Trimestre</t>
  </si>
  <si>
    <t>Total do Semestre</t>
  </si>
  <si>
    <t>JANEIRO</t>
  </si>
  <si>
    <t>FEVEREIRO</t>
  </si>
  <si>
    <t xml:space="preserve">MARÇO </t>
  </si>
  <si>
    <t>ABRIL</t>
  </si>
  <si>
    <t>MAIO</t>
  </si>
  <si>
    <t>JUNHO</t>
  </si>
  <si>
    <t>SALÁRIO</t>
  </si>
  <si>
    <t>CONTAS</t>
  </si>
  <si>
    <t>ÁGUA</t>
  </si>
  <si>
    <t>LUZ</t>
  </si>
  <si>
    <t>ESCOLA</t>
  </si>
  <si>
    <t>IPTU</t>
  </si>
  <si>
    <t>IPVA</t>
  </si>
  <si>
    <t>SHOPPING</t>
  </si>
  <si>
    <t>COMBUSTÍVEL</t>
  </si>
  <si>
    <t xml:space="preserve">ACADEMIA </t>
  </si>
  <si>
    <t>TOTAL DE CONTAS</t>
  </si>
  <si>
    <t>SALDO</t>
  </si>
  <si>
    <t>CONTAS A PAGAR</t>
  </si>
  <si>
    <t>MARÇO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</si>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</sst>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Algerian"/>
      <family val="5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3" borderId="0" xfId="0" applyFill="1"/>
    <xf numFmtId="0" fontId="0" fillId="0" borderId="0" xfId="0" applyAlignment="1">
      <alignment horizontal="center"/>
    </xf>
    <xf numFmtId="44" fontId="0" fillId="0" borderId="0" xfId="1" applyFont="1"/>
    <xf numFmtId="44" fontId="0" fillId="0" borderId="0" xfId="0" applyNumberFormat="1"/>
    <xf numFmtId="44" fontId="0" fillId="3" borderId="0" xfId="0" applyNumberFormat="1" applyFill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Fill="1"/>
    <xf numFmtId="0" fontId="0" fillId="0" borderId="9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/>
    </xf>
    <xf numFmtId="0" fontId="0" fillId="0" borderId="12" xfId="0" applyBorder="1" applyAlignment="1">
      <alignment horizontal="center"/>
    </xf>
    <xf numFmtId="44" fontId="3" fillId="0" borderId="12" xfId="1" applyFont="1" applyBorder="1"/>
    <xf numFmtId="44" fontId="3" fillId="0" borderId="13" xfId="1" applyFont="1" applyBorder="1"/>
    <xf numFmtId="0" fontId="0" fillId="0" borderId="11" xfId="0" applyBorder="1" applyAlignment="1">
      <alignment horizontal="center" vertical="center"/>
    </xf>
    <xf numFmtId="0" fontId="0" fillId="0" borderId="12" xfId="0" applyBorder="1"/>
    <xf numFmtId="44" fontId="0" fillId="0" borderId="0" xfId="0" applyNumberFormat="1" applyFill="1"/>
    <xf numFmtId="44" fontId="3" fillId="0" borderId="12" xfId="0" applyNumberFormat="1" applyFont="1" applyBorder="1"/>
    <xf numFmtId="0" fontId="2" fillId="4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44" fontId="3" fillId="4" borderId="10" xfId="0" applyNumberFormat="1" applyFont="1" applyFill="1" applyBorder="1"/>
    <xf numFmtId="0" fontId="0" fillId="6" borderId="14" xfId="0" applyFill="1" applyBorder="1"/>
    <xf numFmtId="44" fontId="0" fillId="0" borderId="14" xfId="0" applyNumberFormat="1" applyBorder="1"/>
    <xf numFmtId="0" fontId="0" fillId="7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indent="0" justifyLastLine="0" shrinkToFit="0" readingOrder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6ACE9C-FF3A-4839-8C0F-25F247499664}" name="Tabela1" displayName="Tabela1" ref="A2:I9" totalsRowShown="0" headerRowDxfId="17">
  <autoFilter ref="A2:I9" xr:uid="{F26ACE9C-FF3A-4839-8C0F-25F247499664}"/>
  <tableColumns count="9">
    <tableColumn id="1" xr3:uid="{146FEA82-82A3-46EC-9520-762AB92CCEFC}" name="Código" dataDxfId="11"/>
    <tableColumn id="2" xr3:uid="{61B293AB-04B8-4FA4-99ED-EC0712814848}" name="Produto"/>
    <tableColumn id="3" xr3:uid="{8C7CDFA7-B8E3-48DE-928F-71C7FCFC73A5}" name="Janeiro" dataDxfId="24" dataCellStyle="Moeda"/>
    <tableColumn id="4" xr3:uid="{2EC3E740-7AA5-4F2D-BF89-F499F962141A}" name="Fevereiro" dataDxfId="23" dataCellStyle="Moeda"/>
    <tableColumn id="5" xr3:uid="{A1388CAA-EFEE-455C-9AFA-27192290D7A7}" name=" Março" dataDxfId="22" dataCellStyle="Moeda"/>
    <tableColumn id="6" xr3:uid="{3AA48A10-457A-4B3A-AE4F-84880B050FA8}" name="Total - 1°Trimestre" dataDxfId="21">
      <calculatedColumnFormula>SUM(C3:E3)</calculatedColumnFormula>
    </tableColumn>
    <tableColumn id="7" xr3:uid="{E4AB1223-7A4D-42B7-99F9-CA44DC172580}" name="Máximo" dataDxfId="20">
      <calculatedColumnFormula>MAX(C3:E3)</calculatedColumnFormula>
    </tableColumn>
    <tableColumn id="8" xr3:uid="{C5755AB7-D723-4C62-B33F-6070B04FC3EF}" name="Mínimo" dataDxfId="19">
      <calculatedColumnFormula>MIN(C3:E3)</calculatedColumnFormula>
    </tableColumn>
    <tableColumn id="9" xr3:uid="{D7C87FF8-BFAD-44CB-9F25-34DC94691060}" name="Média" dataDxfId="18">
      <calculatedColumnFormula>AVERAGE(C3:E3)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E738BF-AF8D-4C1D-BA1C-FAFE00EBAF4B}" name="Tabela2" displayName="Tabela2" ref="A11:I18" totalsRowShown="0" headerRowDxfId="13">
  <autoFilter ref="A11:I18" xr:uid="{5AE738BF-AF8D-4C1D-BA1C-FAFE00EBAF4B}"/>
  <tableColumns count="9">
    <tableColumn id="1" xr3:uid="{EEF937E9-C327-4389-BB6E-6F45DB4BB40B}" name="Código" dataDxfId="12"/>
    <tableColumn id="2" xr3:uid="{EBD61221-1ABC-4672-AAA8-21CD3C41ABE0}" name="Produto"/>
    <tableColumn id="3" xr3:uid="{D372B6A7-FB1A-4654-A6B8-FC688307E2C5}" name="Abril" dataDxfId="16" dataCellStyle="Moeda"/>
    <tableColumn id="4" xr3:uid="{57F2F9D0-CCDE-4CB4-B31F-696888D804F5}" name="Maio" dataDxfId="15" dataCellStyle="Moeda"/>
    <tableColumn id="5" xr3:uid="{6D26FD64-EF82-4679-BA1E-58FFB851AB5E}" name="Junho" dataDxfId="14" dataCellStyle="Moeda"/>
    <tableColumn id="6" xr3:uid="{1319063A-2CD1-4B1F-ACE8-4FAEC9974BA2}" name="Total - 2°Trimestre" dataDxfId="10">
      <calculatedColumnFormula>SUM(C12:E12)</calculatedColumnFormula>
    </tableColumn>
    <tableColumn id="7" xr3:uid="{5CC1BFBE-F234-4918-A1E6-865DD8362526}" name="Máximo" dataDxfId="9">
      <calculatedColumnFormula>MAX(C12:E12)</calculatedColumnFormula>
    </tableColumn>
    <tableColumn id="8" xr3:uid="{4FC4EA85-9FF9-4C6E-972F-CEE20BFA72EB}" name="Mínimo" dataDxfId="8">
      <calculatedColumnFormula>MIN(C12:E12)</calculatedColumnFormula>
    </tableColumn>
    <tableColumn id="9" xr3:uid="{249A92D2-EEF3-45F6-8E60-0018DAF86313}" name="Média" dataDxfId="7">
      <calculatedColumnFormula>AVERAGE(C12:E12)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C1B947-CE3E-4D6C-A7EA-C82D3A940877}" name="Tabela3" displayName="Tabela3" ref="A3:G4" totalsRowShown="0">
  <autoFilter ref="A3:G4" xr:uid="{88C1B947-CE3E-4D6C-A7EA-C82D3A940877}"/>
  <tableColumns count="7">
    <tableColumn id="1" xr3:uid="{E74C62EC-2C36-4072-86E2-ECD96474B666}" name="Coluna1"/>
    <tableColumn id="2" xr3:uid="{DF22D5D6-D4CF-4CE5-ACC4-93F6CCACC4B1}" name="JANEIRO"/>
    <tableColumn id="3" xr3:uid="{05AE07E0-87CF-4809-8145-362EEAF2380D}" name="FEVEREIRO"/>
    <tableColumn id="4" xr3:uid="{8D1D90BA-0968-4A74-AB80-1D59D1CB2C23}" name="MARÇO "/>
    <tableColumn id="5" xr3:uid="{45800FDB-B8FA-4E7B-9708-37174528F98C}" name="ABRIL"/>
    <tableColumn id="6" xr3:uid="{2576AE4C-A296-40E6-8EF2-988FBBD82FBD}" name="MAIO"/>
    <tableColumn id="7" xr3:uid="{A0812905-2DDE-425E-BCEC-BEA3E2792EFB}" name="JUNH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3289CF-E259-4A9D-A2B4-076E7FC9EA84}" name="Tabela4" displayName="Tabela4" ref="A6:G14" totalsRowShown="0" dataDxfId="0" dataCellStyle="Moeda">
  <autoFilter ref="A6:G14" xr:uid="{9D3289CF-E259-4A9D-A2B4-076E7FC9EA84}"/>
  <tableColumns count="7">
    <tableColumn id="1" xr3:uid="{DC033B8B-964A-428E-BBE0-A597DAB1F00B}" name="CONTAS"/>
    <tableColumn id="2" xr3:uid="{5A734725-3202-44E8-95AA-811847FBD730}" name="JANEIRO" dataDxfId="6" dataCellStyle="Moeda"/>
    <tableColumn id="3" xr3:uid="{59495B2C-FA01-4E15-8361-71E663914C0E}" name="FEVEREIRO" dataDxfId="5" dataCellStyle="Moeda"/>
    <tableColumn id="4" xr3:uid="{3D544352-C188-460B-8671-7801D675EF99}" name="MARÇO" dataDxfId="4" dataCellStyle="Moeda"/>
    <tableColumn id="5" xr3:uid="{AF8A7FBD-BEAE-462C-A299-94D88B40B3BC}" name="ABRIL" dataDxfId="3" dataCellStyle="Moeda"/>
    <tableColumn id="6" xr3:uid="{D41166EE-1CB8-4B93-A6C0-160AFE05C098}" name="MAIO" dataDxfId="2" dataCellStyle="Moeda"/>
    <tableColumn id="7" xr3:uid="{29A03C64-EEA4-4494-A4EF-BA442CA22665}" name="JUNHO" dataDxfId="1" dataCellStyle="Moeda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4FCF-A472-4E2F-A020-BF46715FF20C}">
  <dimension ref="A1:BE104"/>
  <sheetViews>
    <sheetView tabSelected="1" zoomScale="142" zoomScaleNormal="142" workbookViewId="0">
      <selection activeCell="D21" sqref="D21"/>
    </sheetView>
  </sheetViews>
  <sheetFormatPr defaultRowHeight="15" x14ac:dyDescent="0.25"/>
  <cols>
    <col min="1" max="1" width="17.28515625" bestFit="1" customWidth="1"/>
    <col min="2" max="2" width="14.85546875" bestFit="1" customWidth="1"/>
    <col min="3" max="5" width="13.7109375" bestFit="1" customWidth="1"/>
    <col min="6" max="6" width="18.140625" customWidth="1"/>
    <col min="7" max="9" width="13.7109375" bestFit="1" customWidth="1"/>
  </cols>
  <sheetData>
    <row r="1" spans="1:57" ht="29.25" thickTop="1" x14ac:dyDescent="0.25">
      <c r="A1" s="23" t="s">
        <v>0</v>
      </c>
      <c r="B1" s="24"/>
      <c r="C1" s="24"/>
      <c r="D1" s="24"/>
      <c r="E1" s="24"/>
      <c r="F1" s="24"/>
      <c r="G1" s="24"/>
      <c r="H1" s="24"/>
      <c r="I1" s="25"/>
    </row>
    <row r="2" spans="1:57" x14ac:dyDescent="0.25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9" t="s">
        <v>17</v>
      </c>
      <c r="G2" s="8" t="s">
        <v>6</v>
      </c>
      <c r="H2" s="8" t="s">
        <v>7</v>
      </c>
      <c r="I2" s="10" t="s">
        <v>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</row>
    <row r="3" spans="1:57" x14ac:dyDescent="0.25">
      <c r="A3" s="2">
        <v>1</v>
      </c>
      <c r="B3" t="s">
        <v>9</v>
      </c>
      <c r="C3" s="3">
        <v>4500</v>
      </c>
      <c r="D3" s="3">
        <v>5040</v>
      </c>
      <c r="E3" s="3">
        <v>5696</v>
      </c>
      <c r="F3" s="4">
        <f>SUM(C3:E3)</f>
        <v>15236</v>
      </c>
      <c r="G3" s="4">
        <f>MAX(C3:E3)</f>
        <v>5696</v>
      </c>
      <c r="H3" s="4">
        <f>MIN(C3:E3)</f>
        <v>4500</v>
      </c>
      <c r="I3" s="5">
        <f>AVERAGE(C3:E3)</f>
        <v>5078.666666666667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</row>
    <row r="4" spans="1:57" x14ac:dyDescent="0.25">
      <c r="A4" s="2">
        <v>2</v>
      </c>
      <c r="B4" t="s">
        <v>10</v>
      </c>
      <c r="C4" s="3">
        <v>6250</v>
      </c>
      <c r="D4" s="3">
        <v>7000</v>
      </c>
      <c r="E4" s="3">
        <v>7910</v>
      </c>
      <c r="F4" s="4">
        <f t="shared" ref="F4:F8" si="0">SUM(C4:E4)</f>
        <v>21160</v>
      </c>
      <c r="G4" s="4">
        <f t="shared" ref="G4:G8" si="1">MAX(C4:E4)</f>
        <v>7910</v>
      </c>
      <c r="H4" s="4">
        <f t="shared" ref="H4:H8" si="2">MIN(C4:E4)</f>
        <v>6250</v>
      </c>
      <c r="I4" s="5">
        <f t="shared" ref="I4:I8" si="3">AVERAGE(C4:E4)</f>
        <v>7053.333333333333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</row>
    <row r="5" spans="1:57" x14ac:dyDescent="0.25">
      <c r="A5" s="2">
        <v>3</v>
      </c>
      <c r="B5" t="s">
        <v>11</v>
      </c>
      <c r="C5" s="3">
        <v>3300</v>
      </c>
      <c r="D5" s="3">
        <v>3696</v>
      </c>
      <c r="E5" s="3">
        <v>4176</v>
      </c>
      <c r="F5" s="4">
        <f t="shared" si="0"/>
        <v>11172</v>
      </c>
      <c r="G5" s="4">
        <f t="shared" si="1"/>
        <v>4176</v>
      </c>
      <c r="H5" s="4">
        <f t="shared" si="2"/>
        <v>3300</v>
      </c>
      <c r="I5" s="5">
        <f t="shared" si="3"/>
        <v>3724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</row>
    <row r="6" spans="1:57" x14ac:dyDescent="0.25">
      <c r="A6" s="2">
        <v>4</v>
      </c>
      <c r="B6" t="s">
        <v>12</v>
      </c>
      <c r="C6" s="3">
        <v>8000</v>
      </c>
      <c r="D6" s="3">
        <v>8690</v>
      </c>
      <c r="E6" s="3">
        <v>10125</v>
      </c>
      <c r="F6" s="4">
        <f t="shared" si="0"/>
        <v>26815</v>
      </c>
      <c r="G6" s="4">
        <f t="shared" si="1"/>
        <v>10125</v>
      </c>
      <c r="H6" s="4">
        <f t="shared" si="2"/>
        <v>8000</v>
      </c>
      <c r="I6" s="5">
        <f t="shared" si="3"/>
        <v>8938.3333333333339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</row>
    <row r="7" spans="1:57" x14ac:dyDescent="0.25">
      <c r="A7" s="2">
        <v>5</v>
      </c>
      <c r="B7" t="s">
        <v>13</v>
      </c>
      <c r="C7" s="3">
        <v>4557</v>
      </c>
      <c r="D7" s="3">
        <v>5104</v>
      </c>
      <c r="E7" s="3">
        <v>5676</v>
      </c>
      <c r="F7" s="4">
        <f t="shared" si="0"/>
        <v>15337</v>
      </c>
      <c r="G7" s="4">
        <f t="shared" si="1"/>
        <v>5676</v>
      </c>
      <c r="H7" s="4">
        <f t="shared" si="2"/>
        <v>4557</v>
      </c>
      <c r="I7" s="5">
        <f t="shared" si="3"/>
        <v>5112.333333333333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</row>
    <row r="8" spans="1:57" ht="15.75" thickBot="1" x14ac:dyDescent="0.3">
      <c r="A8" s="2">
        <v>6</v>
      </c>
      <c r="B8" t="s">
        <v>14</v>
      </c>
      <c r="C8" s="3">
        <v>3260</v>
      </c>
      <c r="D8" s="3">
        <v>3640</v>
      </c>
      <c r="E8" s="3">
        <v>4113</v>
      </c>
      <c r="F8" s="4">
        <f t="shared" si="0"/>
        <v>11013</v>
      </c>
      <c r="G8" s="4">
        <f t="shared" si="1"/>
        <v>4113</v>
      </c>
      <c r="H8" s="4">
        <f t="shared" si="2"/>
        <v>3260</v>
      </c>
      <c r="I8" s="5">
        <f t="shared" si="3"/>
        <v>3671</v>
      </c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</row>
    <row r="9" spans="1:57" ht="15.75" thickBot="1" x14ac:dyDescent="0.3">
      <c r="A9" s="15" t="s">
        <v>15</v>
      </c>
      <c r="B9" s="16" t="s">
        <v>16</v>
      </c>
      <c r="C9" s="17">
        <f>SUM(C3:C8)</f>
        <v>29867</v>
      </c>
      <c r="D9" s="17">
        <f t="shared" ref="D9:I9" si="4">SUM(D3:D8)</f>
        <v>33170</v>
      </c>
      <c r="E9" s="17">
        <f t="shared" si="4"/>
        <v>37696</v>
      </c>
      <c r="F9" s="17">
        <f t="shared" si="4"/>
        <v>100733</v>
      </c>
      <c r="G9" s="17">
        <f t="shared" si="4"/>
        <v>37696</v>
      </c>
      <c r="H9" s="17">
        <f t="shared" si="4"/>
        <v>29867</v>
      </c>
      <c r="I9" s="18">
        <f t="shared" si="4"/>
        <v>33577.666666666672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</row>
    <row r="10" spans="1:57" x14ac:dyDescent="0.25">
      <c r="B10" s="2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</row>
    <row r="11" spans="1:57" x14ac:dyDescent="0.25">
      <c r="A11" s="11" t="s">
        <v>1</v>
      </c>
      <c r="B11" s="12" t="s">
        <v>2</v>
      </c>
      <c r="C11" s="12" t="s">
        <v>18</v>
      </c>
      <c r="D11" s="12" t="s">
        <v>19</v>
      </c>
      <c r="E11" s="12" t="s">
        <v>20</v>
      </c>
      <c r="F11" s="12" t="s">
        <v>21</v>
      </c>
      <c r="G11" s="12" t="s">
        <v>6</v>
      </c>
      <c r="H11" s="12" t="s">
        <v>7</v>
      </c>
      <c r="I11" s="14" t="s">
        <v>8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</row>
    <row r="12" spans="1:57" x14ac:dyDescent="0.25">
      <c r="A12" s="6">
        <v>1</v>
      </c>
      <c r="B12" t="s">
        <v>9</v>
      </c>
      <c r="C12" s="3">
        <v>6265</v>
      </c>
      <c r="D12" s="3">
        <v>6954</v>
      </c>
      <c r="E12" s="3">
        <v>7858</v>
      </c>
      <c r="F12" s="4">
        <f t="shared" ref="F12:F18" si="5">SUM(C12:E12)</f>
        <v>21077</v>
      </c>
      <c r="G12" s="4">
        <f t="shared" ref="G12:G18" si="6">MAX(C12:E12)</f>
        <v>7858</v>
      </c>
      <c r="H12" s="4">
        <f t="shared" ref="H12:H18" si="7">MIN(C12:E12)</f>
        <v>6265</v>
      </c>
      <c r="I12" s="21">
        <f t="shared" ref="I12:I18" si="8">AVERAGE(C12:E12)</f>
        <v>7025.666666666667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</row>
    <row r="13" spans="1:57" x14ac:dyDescent="0.25">
      <c r="A13" s="6">
        <v>2</v>
      </c>
      <c r="B13" t="s">
        <v>10</v>
      </c>
      <c r="C13" s="3">
        <v>8701</v>
      </c>
      <c r="D13" s="3">
        <v>9658</v>
      </c>
      <c r="E13" s="3">
        <v>10197</v>
      </c>
      <c r="F13" s="4">
        <f>SUM(C13:E13)</f>
        <v>28556</v>
      </c>
      <c r="G13" s="4">
        <f t="shared" si="6"/>
        <v>10197</v>
      </c>
      <c r="H13" s="4">
        <f t="shared" si="7"/>
        <v>8701</v>
      </c>
      <c r="I13" s="21">
        <f t="shared" si="8"/>
        <v>9518.6666666666661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</row>
    <row r="14" spans="1:57" x14ac:dyDescent="0.25">
      <c r="A14" s="6">
        <v>3</v>
      </c>
      <c r="B14" t="s">
        <v>11</v>
      </c>
      <c r="C14" s="3">
        <v>4569</v>
      </c>
      <c r="D14" s="3">
        <v>5099</v>
      </c>
      <c r="E14" s="3">
        <v>5769</v>
      </c>
      <c r="F14" s="4">
        <f t="shared" si="5"/>
        <v>15437</v>
      </c>
      <c r="G14" s="4">
        <f t="shared" si="6"/>
        <v>5769</v>
      </c>
      <c r="H14" s="4">
        <f t="shared" si="7"/>
        <v>4569</v>
      </c>
      <c r="I14" s="21">
        <f t="shared" si="8"/>
        <v>5145.666666666667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</row>
    <row r="15" spans="1:57" x14ac:dyDescent="0.25">
      <c r="A15" s="6">
        <v>4</v>
      </c>
      <c r="B15" t="s">
        <v>12</v>
      </c>
      <c r="C15" s="3">
        <v>12341</v>
      </c>
      <c r="D15" s="3">
        <v>12365</v>
      </c>
      <c r="E15" s="3">
        <v>13969</v>
      </c>
      <c r="F15" s="4">
        <f t="shared" si="5"/>
        <v>38675</v>
      </c>
      <c r="G15" s="4">
        <f t="shared" si="6"/>
        <v>13969</v>
      </c>
      <c r="H15" s="4">
        <f t="shared" si="7"/>
        <v>12341</v>
      </c>
      <c r="I15" s="21">
        <f t="shared" si="8"/>
        <v>12891.666666666666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</row>
    <row r="16" spans="1:57" x14ac:dyDescent="0.25">
      <c r="A16" s="6">
        <v>5</v>
      </c>
      <c r="B16" t="s">
        <v>13</v>
      </c>
      <c r="C16" s="3">
        <v>6344</v>
      </c>
      <c r="D16" s="3">
        <v>7042</v>
      </c>
      <c r="E16" s="3">
        <v>7957</v>
      </c>
      <c r="F16" s="4">
        <f t="shared" si="5"/>
        <v>21343</v>
      </c>
      <c r="G16" s="4">
        <f t="shared" si="6"/>
        <v>7957</v>
      </c>
      <c r="H16" s="4">
        <f t="shared" si="7"/>
        <v>6344</v>
      </c>
      <c r="I16" s="21">
        <f t="shared" si="8"/>
        <v>7114.333333333333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</row>
    <row r="17" spans="1:57" ht="15.75" thickBot="1" x14ac:dyDescent="0.3">
      <c r="A17" s="6">
        <v>6</v>
      </c>
      <c r="B17" t="s">
        <v>14</v>
      </c>
      <c r="C17" s="3">
        <v>4525</v>
      </c>
      <c r="D17" s="3">
        <v>5022</v>
      </c>
      <c r="E17" s="3">
        <v>5671</v>
      </c>
      <c r="F17" s="4">
        <f t="shared" si="5"/>
        <v>15218</v>
      </c>
      <c r="G17" s="4">
        <f t="shared" si="6"/>
        <v>5671</v>
      </c>
      <c r="H17" s="4">
        <f t="shared" si="7"/>
        <v>4525</v>
      </c>
      <c r="I17" s="21">
        <f t="shared" si="8"/>
        <v>5072.666666666667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</row>
    <row r="18" spans="1:57" ht="15.75" thickBot="1" x14ac:dyDescent="0.3">
      <c r="A18" s="19" t="s">
        <v>15</v>
      </c>
      <c r="B18" s="20"/>
      <c r="C18" s="22">
        <f>SUM(C12:C17)</f>
        <v>42745</v>
      </c>
      <c r="D18" s="22">
        <f t="shared" ref="D18:I18" si="9">SUM(D12:D17)</f>
        <v>46140</v>
      </c>
      <c r="E18" s="22">
        <f t="shared" si="9"/>
        <v>51421</v>
      </c>
      <c r="F18" s="22">
        <f t="shared" si="9"/>
        <v>140306</v>
      </c>
      <c r="G18" s="22">
        <f t="shared" si="9"/>
        <v>51421</v>
      </c>
      <c r="H18" s="22">
        <f t="shared" si="9"/>
        <v>42745</v>
      </c>
      <c r="I18" s="22">
        <f t="shared" si="9"/>
        <v>46768.666666666664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</row>
    <row r="19" spans="1:57" ht="15.75" thickBot="1" x14ac:dyDescent="0.3"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</row>
    <row r="20" spans="1:57" ht="15.75" thickBot="1" x14ac:dyDescent="0.3">
      <c r="A20" s="26" t="s">
        <v>22</v>
      </c>
      <c r="B20" s="27">
        <f>SUM(F9+F18)</f>
        <v>241039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</row>
    <row r="21" spans="1:57" x14ac:dyDescent="0.25"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</row>
    <row r="22" spans="1:57" x14ac:dyDescent="0.25"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</row>
    <row r="23" spans="1:57" x14ac:dyDescent="0.25"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</row>
    <row r="24" spans="1:57" x14ac:dyDescent="0.25"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</row>
    <row r="25" spans="1:57" x14ac:dyDescent="0.25"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</row>
    <row r="26" spans="1:57" x14ac:dyDescent="0.25"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</row>
    <row r="27" spans="1:57" x14ac:dyDescent="0.25"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</row>
    <row r="28" spans="1:57" x14ac:dyDescent="0.25"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</row>
    <row r="29" spans="1:57" x14ac:dyDescent="0.25"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</row>
    <row r="30" spans="1:57" x14ac:dyDescent="0.25"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</row>
    <row r="31" spans="1:57" x14ac:dyDescent="0.25"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</row>
    <row r="32" spans="1:57" x14ac:dyDescent="0.25"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</row>
    <row r="33" spans="9:57" x14ac:dyDescent="0.25"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</row>
    <row r="34" spans="9:57" x14ac:dyDescent="0.25"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</row>
    <row r="35" spans="9:57" x14ac:dyDescent="0.25"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</row>
    <row r="36" spans="9:57" x14ac:dyDescent="0.25"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</row>
    <row r="37" spans="9:57" x14ac:dyDescent="0.25"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</row>
    <row r="38" spans="9:57" x14ac:dyDescent="0.25"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</row>
    <row r="39" spans="9:57" x14ac:dyDescent="0.25"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</row>
    <row r="40" spans="9:57" x14ac:dyDescent="0.25"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</row>
    <row r="41" spans="9:57" x14ac:dyDescent="0.25"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</row>
    <row r="42" spans="9:57" x14ac:dyDescent="0.25"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</row>
    <row r="43" spans="9:57" x14ac:dyDescent="0.25"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</row>
    <row r="44" spans="9:57" x14ac:dyDescent="0.25"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</row>
    <row r="45" spans="9:57" x14ac:dyDescent="0.25"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</row>
    <row r="46" spans="9:57" x14ac:dyDescent="0.25"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</row>
    <row r="47" spans="9:57" x14ac:dyDescent="0.25"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</row>
    <row r="48" spans="9:57" x14ac:dyDescent="0.25"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</row>
    <row r="49" spans="9:57" x14ac:dyDescent="0.25"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</row>
    <row r="50" spans="9:57" x14ac:dyDescent="0.25"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</row>
    <row r="51" spans="9:57" x14ac:dyDescent="0.25"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</row>
    <row r="52" spans="9:57" x14ac:dyDescent="0.25"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</row>
    <row r="53" spans="9:57" x14ac:dyDescent="0.25"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</row>
    <row r="54" spans="9:57" x14ac:dyDescent="0.25"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</row>
    <row r="55" spans="9:57" x14ac:dyDescent="0.25"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</row>
    <row r="56" spans="9:57" x14ac:dyDescent="0.25"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9:57" x14ac:dyDescent="0.25"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</row>
    <row r="58" spans="9:57" x14ac:dyDescent="0.25"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</row>
    <row r="59" spans="9:57" x14ac:dyDescent="0.25"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</row>
    <row r="60" spans="9:57" x14ac:dyDescent="0.25"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</row>
    <row r="61" spans="9:57" x14ac:dyDescent="0.25"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</row>
    <row r="62" spans="9:57" x14ac:dyDescent="0.25"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</row>
    <row r="63" spans="9:57" x14ac:dyDescent="0.25"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</row>
    <row r="64" spans="9:57" x14ac:dyDescent="0.25"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</row>
    <row r="65" spans="9:57" x14ac:dyDescent="0.25"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</row>
    <row r="66" spans="9:57" x14ac:dyDescent="0.25"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</row>
    <row r="67" spans="9:57" x14ac:dyDescent="0.25"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</row>
    <row r="68" spans="9:57" x14ac:dyDescent="0.25"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</row>
    <row r="69" spans="9:57" x14ac:dyDescent="0.25"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</row>
    <row r="70" spans="9:57" x14ac:dyDescent="0.25"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</row>
    <row r="71" spans="9:57" x14ac:dyDescent="0.25"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</row>
    <row r="72" spans="9:57" x14ac:dyDescent="0.25"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</row>
    <row r="73" spans="9:57" x14ac:dyDescent="0.25"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</row>
    <row r="74" spans="9:57" x14ac:dyDescent="0.25"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</row>
    <row r="75" spans="9:57" x14ac:dyDescent="0.25"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</row>
    <row r="76" spans="9:57" x14ac:dyDescent="0.25"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</row>
    <row r="77" spans="9:57" x14ac:dyDescent="0.25"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</row>
    <row r="78" spans="9:57" x14ac:dyDescent="0.25"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</row>
    <row r="79" spans="9:57" x14ac:dyDescent="0.25"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</row>
    <row r="80" spans="9:57" x14ac:dyDescent="0.25"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</row>
    <row r="81" spans="9:57" x14ac:dyDescent="0.25"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</row>
    <row r="82" spans="9:57" x14ac:dyDescent="0.25"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</row>
    <row r="83" spans="9:57" x14ac:dyDescent="0.25"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</row>
    <row r="84" spans="9:57" x14ac:dyDescent="0.25"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</row>
    <row r="85" spans="9:57" x14ac:dyDescent="0.25"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</row>
    <row r="86" spans="9:57" x14ac:dyDescent="0.25"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</row>
    <row r="87" spans="9:57" x14ac:dyDescent="0.25"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</row>
    <row r="88" spans="9:57" x14ac:dyDescent="0.25"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</row>
    <row r="89" spans="9:57" x14ac:dyDescent="0.25"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</row>
    <row r="90" spans="9:57" x14ac:dyDescent="0.25"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</row>
    <row r="91" spans="9:57" x14ac:dyDescent="0.25"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</row>
    <row r="92" spans="9:57" x14ac:dyDescent="0.25"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</row>
    <row r="93" spans="9:57" x14ac:dyDescent="0.25"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</row>
    <row r="94" spans="9:57" x14ac:dyDescent="0.25"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</row>
    <row r="95" spans="9:57" x14ac:dyDescent="0.25"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</row>
    <row r="96" spans="9:57" x14ac:dyDescent="0.25"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</row>
    <row r="97" spans="9:57" x14ac:dyDescent="0.25"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</row>
    <row r="98" spans="9:57" x14ac:dyDescent="0.25"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</row>
    <row r="99" spans="9:57" x14ac:dyDescent="0.25"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</row>
    <row r="100" spans="9:57" x14ac:dyDescent="0.25"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</row>
    <row r="101" spans="9:57" x14ac:dyDescent="0.25"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</row>
    <row r="102" spans="9:57" x14ac:dyDescent="0.25"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</row>
    <row r="103" spans="9:57" x14ac:dyDescent="0.25"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</row>
    <row r="104" spans="9:57" x14ac:dyDescent="0.25"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92C99-AC69-4FFF-A472-026CD71DDF81}">
  <dimension ref="A1:G18"/>
  <sheetViews>
    <sheetView workbookViewId="0">
      <selection activeCell="I10" sqref="I10"/>
    </sheetView>
  </sheetViews>
  <sheetFormatPr defaultRowHeight="15" x14ac:dyDescent="0.25"/>
  <cols>
    <col min="1" max="1" width="17.28515625" bestFit="1" customWidth="1"/>
    <col min="2" max="2" width="10.7109375" customWidth="1"/>
    <col min="3" max="3" width="12.7109375" customWidth="1"/>
    <col min="4" max="7" width="10.5703125" bestFit="1" customWidth="1"/>
  </cols>
  <sheetData>
    <row r="1" spans="1:7" x14ac:dyDescent="0.25">
      <c r="A1" s="30" t="s">
        <v>41</v>
      </c>
      <c r="B1" s="30"/>
      <c r="C1" s="30"/>
      <c r="D1" s="30"/>
      <c r="E1" s="30"/>
      <c r="F1" s="30"/>
      <c r="G1" s="30"/>
    </row>
    <row r="3" spans="1:7" x14ac:dyDescent="0.25">
      <c r="A3" t="s">
        <v>43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</row>
    <row r="4" spans="1:7" x14ac:dyDescent="0.25">
      <c r="A4" t="s">
        <v>29</v>
      </c>
      <c r="B4">
        <v>500</v>
      </c>
      <c r="C4">
        <v>750</v>
      </c>
      <c r="D4">
        <v>800</v>
      </c>
      <c r="E4">
        <v>700</v>
      </c>
      <c r="F4">
        <v>654</v>
      </c>
      <c r="G4">
        <v>700</v>
      </c>
    </row>
    <row r="6" spans="1:7" x14ac:dyDescent="0.25">
      <c r="A6" t="s">
        <v>30</v>
      </c>
      <c r="B6" t="s">
        <v>23</v>
      </c>
      <c r="C6" t="s">
        <v>24</v>
      </c>
      <c r="D6" t="s">
        <v>42</v>
      </c>
      <c r="E6" t="s">
        <v>26</v>
      </c>
      <c r="F6" t="s">
        <v>27</v>
      </c>
      <c r="G6" t="s">
        <v>28</v>
      </c>
    </row>
    <row r="7" spans="1:7" x14ac:dyDescent="0.25">
      <c r="A7" t="s">
        <v>31</v>
      </c>
      <c r="B7" s="3">
        <v>10</v>
      </c>
      <c r="C7" s="3">
        <v>15</v>
      </c>
      <c r="D7" s="3">
        <v>15</v>
      </c>
      <c r="E7" s="3">
        <v>12</v>
      </c>
      <c r="F7" s="3">
        <v>12</v>
      </c>
      <c r="G7" s="3">
        <v>11</v>
      </c>
    </row>
    <row r="8" spans="1:7" x14ac:dyDescent="0.25">
      <c r="A8" t="s">
        <v>32</v>
      </c>
      <c r="B8" s="3">
        <v>50</v>
      </c>
      <c r="C8" s="3">
        <v>60</v>
      </c>
      <c r="D8" s="3">
        <v>54</v>
      </c>
      <c r="E8" s="3">
        <v>55</v>
      </c>
      <c r="F8" s="3">
        <v>54</v>
      </c>
      <c r="G8" s="3">
        <v>56</v>
      </c>
    </row>
    <row r="9" spans="1:7" x14ac:dyDescent="0.25">
      <c r="A9" t="s">
        <v>33</v>
      </c>
      <c r="B9" s="3">
        <v>300</v>
      </c>
      <c r="C9" s="3">
        <v>250</v>
      </c>
      <c r="D9" s="3">
        <v>300</v>
      </c>
      <c r="E9" s="3">
        <v>300</v>
      </c>
      <c r="F9" s="3">
        <v>200</v>
      </c>
      <c r="G9" s="3">
        <v>200</v>
      </c>
    </row>
    <row r="10" spans="1:7" x14ac:dyDescent="0.25">
      <c r="A10" t="s">
        <v>34</v>
      </c>
      <c r="B10" s="3">
        <v>40</v>
      </c>
      <c r="C10" s="3">
        <v>40</v>
      </c>
      <c r="D10" s="3">
        <v>40</v>
      </c>
      <c r="E10" s="3">
        <v>40</v>
      </c>
      <c r="F10" s="3">
        <v>40</v>
      </c>
      <c r="G10" s="3">
        <v>40</v>
      </c>
    </row>
    <row r="11" spans="1:7" x14ac:dyDescent="0.25">
      <c r="A11" t="s">
        <v>35</v>
      </c>
      <c r="B11" s="3">
        <v>10</v>
      </c>
      <c r="C11" s="3">
        <v>15</v>
      </c>
      <c r="D11" s="3">
        <v>14</v>
      </c>
      <c r="E11" s="3">
        <v>15</v>
      </c>
      <c r="F11" s="3">
        <v>20</v>
      </c>
      <c r="G11" s="3">
        <v>31</v>
      </c>
    </row>
    <row r="12" spans="1:7" x14ac:dyDescent="0.25">
      <c r="A12" t="s">
        <v>36</v>
      </c>
      <c r="B12" s="3">
        <v>120</v>
      </c>
      <c r="C12" s="3">
        <v>150</v>
      </c>
      <c r="D12" s="3">
        <v>130</v>
      </c>
      <c r="E12" s="3">
        <v>200</v>
      </c>
      <c r="F12" s="3">
        <v>150</v>
      </c>
      <c r="G12" s="3">
        <v>190</v>
      </c>
    </row>
    <row r="13" spans="1:7" x14ac:dyDescent="0.25">
      <c r="A13" t="s">
        <v>37</v>
      </c>
      <c r="B13" s="3">
        <v>50</v>
      </c>
      <c r="C13" s="3">
        <v>60</v>
      </c>
      <c r="D13" s="3">
        <v>65</v>
      </c>
      <c r="E13" s="3">
        <v>70</v>
      </c>
      <c r="F13" s="3">
        <v>65</v>
      </c>
      <c r="G13" s="3">
        <v>85</v>
      </c>
    </row>
    <row r="14" spans="1:7" x14ac:dyDescent="0.25">
      <c r="A14" t="s">
        <v>38</v>
      </c>
      <c r="B14" s="3">
        <v>145</v>
      </c>
      <c r="C14" s="3">
        <v>145</v>
      </c>
      <c r="D14" s="3">
        <v>145</v>
      </c>
      <c r="E14" s="3">
        <v>145</v>
      </c>
      <c r="F14" s="3">
        <v>100</v>
      </c>
      <c r="G14" s="3">
        <v>145</v>
      </c>
    </row>
    <row r="16" spans="1:7" x14ac:dyDescent="0.25">
      <c r="A16" s="28" t="s">
        <v>39</v>
      </c>
      <c r="B16" s="29">
        <f>SUM(B7:B14)</f>
        <v>725</v>
      </c>
      <c r="C16" s="29">
        <f>SUM(C7:C14)</f>
        <v>735</v>
      </c>
      <c r="D16" s="29">
        <f>SUM(D7:D14)</f>
        <v>763</v>
      </c>
      <c r="E16" s="29">
        <f>SUM(E7:E14)</f>
        <v>837</v>
      </c>
      <c r="F16" s="29">
        <f>SUM(F7:F14)</f>
        <v>641</v>
      </c>
      <c r="G16" s="29">
        <f>SUM(G7:G14)</f>
        <v>758</v>
      </c>
    </row>
    <row r="18" spans="1:7" x14ac:dyDescent="0.25">
      <c r="A18" s="28" t="s">
        <v>40</v>
      </c>
      <c r="B18" s="29">
        <f>B4-B16</f>
        <v>-225</v>
      </c>
      <c r="C18" s="29">
        <f>C4-C16</f>
        <v>15</v>
      </c>
      <c r="D18" s="29">
        <f>D4-D16</f>
        <v>37</v>
      </c>
      <c r="E18" s="29">
        <f>E4-E16</f>
        <v>-137</v>
      </c>
      <c r="F18" s="29">
        <f>F4-F16</f>
        <v>13</v>
      </c>
      <c r="G18" s="29">
        <f>G4-G16</f>
        <v>-58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Exercício 1 </vt:lpstr>
      <vt:lpstr>Exercíco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2026-03-06T14:04:37Z</dcterms:created>
  <dcterms:modified xsi:type="dcterms:W3CDTF">2026-03-06T15:20:17Z</dcterms:modified>
</cp:coreProperties>
</file>