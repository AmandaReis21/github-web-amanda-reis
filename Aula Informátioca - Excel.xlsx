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7062F81-6E72-48AC-B4BE-8BFD6EF3BE47}" xr6:coauthVersionLast="36" xr6:coauthVersionMax="36" xr10:uidLastSave="{00000000-0000-0000-0000-000000000000}"/>
  <bookViews>
    <workbookView xWindow="0" yWindow="0" windowWidth="28800" windowHeight="12105" firstSheet="6" activeTab="8" xr2:uid="{A300D95A-100A-46D5-9A49-5544A61B73A6}"/>
  </bookViews>
  <sheets>
    <sheet name="Exercício 1 " sheetId="1" r:id="rId1"/>
    <sheet name="Exercício 2" sheetId="2" r:id="rId2"/>
    <sheet name="Exercício 3" sheetId="3" r:id="rId3"/>
    <sheet name="Exercício 4" sheetId="4" r:id="rId4"/>
    <sheet name="Exercício 5" sheetId="5" r:id="rId5"/>
    <sheet name="Exercício 6" sheetId="6" r:id="rId6"/>
    <sheet name="Exercício 7" sheetId="7" r:id="rId7"/>
    <sheet name="Exercício 8" sheetId="8" r:id="rId8"/>
    <sheet name="Exercício 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9" l="1"/>
  <c r="H19" i="9"/>
  <c r="H9" i="9"/>
  <c r="H10" i="9"/>
  <c r="H11" i="9"/>
  <c r="H12" i="9"/>
  <c r="H13" i="9"/>
  <c r="H14" i="9"/>
  <c r="H15" i="9"/>
  <c r="H16" i="9"/>
  <c r="H17" i="9"/>
  <c r="H18" i="9"/>
  <c r="H8" i="9"/>
  <c r="G9" i="9"/>
  <c r="G10" i="9"/>
  <c r="G11" i="9"/>
  <c r="G12" i="9"/>
  <c r="G13" i="9"/>
  <c r="G14" i="9"/>
  <c r="G15" i="9"/>
  <c r="G16" i="9"/>
  <c r="G17" i="9"/>
  <c r="G18" i="9"/>
  <c r="G8" i="9"/>
  <c r="F19" i="9"/>
  <c r="F9" i="9"/>
  <c r="F10" i="9"/>
  <c r="F11" i="9"/>
  <c r="F12" i="9"/>
  <c r="F13" i="9"/>
  <c r="F14" i="9"/>
  <c r="F15" i="9"/>
  <c r="F16" i="9"/>
  <c r="F17" i="9"/>
  <c r="F18" i="9"/>
  <c r="F8" i="9"/>
  <c r="E10" i="9"/>
  <c r="E9" i="9"/>
  <c r="E11" i="9"/>
  <c r="E19" i="9" s="1"/>
  <c r="E12" i="9"/>
  <c r="E13" i="9"/>
  <c r="E14" i="9"/>
  <c r="E15" i="9"/>
  <c r="E16" i="9"/>
  <c r="E17" i="9"/>
  <c r="E18" i="9"/>
  <c r="E8" i="9"/>
  <c r="D19" i="9"/>
  <c r="C19" i="9"/>
  <c r="B19" i="9"/>
  <c r="B23" i="7"/>
  <c r="B22" i="7"/>
  <c r="B21" i="7"/>
  <c r="B20" i="7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9" i="6"/>
  <c r="C2" i="6"/>
  <c r="B15" i="5"/>
  <c r="B16" i="5"/>
  <c r="F17" i="5"/>
  <c r="E15" i="5"/>
  <c r="E16" i="5" s="1"/>
  <c r="D15" i="5"/>
  <c r="D16" i="5" s="1"/>
  <c r="C15" i="5"/>
  <c r="C16" i="5" s="1"/>
  <c r="F4" i="5"/>
  <c r="F8" i="5"/>
  <c r="F9" i="5"/>
  <c r="F10" i="5"/>
  <c r="F11" i="5"/>
  <c r="F12" i="5"/>
  <c r="F7" i="5"/>
  <c r="E4" i="4"/>
  <c r="E5" i="4"/>
  <c r="E6" i="4"/>
  <c r="E7" i="4"/>
  <c r="E8" i="4"/>
  <c r="E9" i="4"/>
  <c r="E3" i="4"/>
  <c r="D4" i="4"/>
  <c r="D5" i="4"/>
  <c r="D6" i="4"/>
  <c r="D7" i="4"/>
  <c r="D8" i="4"/>
  <c r="D9" i="4"/>
  <c r="D3" i="4"/>
  <c r="H4" i="3"/>
  <c r="H5" i="3"/>
  <c r="H6" i="3"/>
  <c r="H7" i="3"/>
  <c r="H8" i="3"/>
  <c r="H9" i="3"/>
  <c r="H10" i="3"/>
  <c r="H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B16" i="2" l="1"/>
  <c r="C16" i="2"/>
  <c r="D16" i="2"/>
  <c r="E16" i="2"/>
  <c r="F16" i="2"/>
  <c r="G16" i="2"/>
  <c r="D18" i="2"/>
  <c r="C18" i="2"/>
  <c r="E18" i="2"/>
  <c r="F18" i="2"/>
  <c r="G18" i="2"/>
  <c r="B18" i="2"/>
  <c r="B20" i="1"/>
  <c r="D18" i="1"/>
  <c r="E18" i="1"/>
  <c r="F18" i="1"/>
  <c r="G18" i="1"/>
  <c r="H18" i="1"/>
  <c r="I18" i="1"/>
  <c r="C18" i="1"/>
  <c r="I12" i="1"/>
  <c r="I13" i="1"/>
  <c r="I14" i="1"/>
  <c r="I15" i="1"/>
  <c r="I16" i="1"/>
  <c r="I17" i="1"/>
  <c r="H12" i="1"/>
  <c r="H13" i="1"/>
  <c r="H14" i="1"/>
  <c r="H15" i="1"/>
  <c r="H16" i="1"/>
  <c r="H17" i="1"/>
  <c r="G12" i="1"/>
  <c r="G13" i="1"/>
  <c r="G14" i="1"/>
  <c r="G15" i="1"/>
  <c r="G16" i="1"/>
  <c r="G17" i="1"/>
  <c r="F13" i="1"/>
  <c r="F12" i="1"/>
  <c r="F14" i="1"/>
  <c r="F15" i="1"/>
  <c r="F16" i="1"/>
  <c r="F17" i="1"/>
  <c r="D9" i="1"/>
  <c r="E9" i="1"/>
  <c r="F9" i="1"/>
  <c r="G9" i="1"/>
  <c r="H9" i="1"/>
  <c r="I9" i="1"/>
  <c r="C9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<sst xmlns="http://schemas.openxmlformats.org/spreadsheetml/2006/main" count="263" uniqueCount="214">
  <si>
    <t>Mecânica S.A.</t>
  </si>
  <si>
    <t>Código</t>
  </si>
  <si>
    <t>Produto</t>
  </si>
  <si>
    <t>Janeiro</t>
  </si>
  <si>
    <t>Fevereiro</t>
  </si>
  <si>
    <t xml:space="preserve"> Março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</si>
  <si>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</si>
  <si>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</si>
  <si>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</si>
  <si>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</si>
  <si>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</si>
  <si>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</si>
  <si>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</si>
  <si>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</si>
  <si>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</si>
  <si>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Totais:</t>
  </si>
  <si>
    <t>.</t>
  </si>
  <si>
    <t>Total - 1°Trimestre</t>
  </si>
  <si>
    <t>Abril</t>
  </si>
  <si>
    <t>Maio</t>
  </si>
  <si>
    <t>Junho</t>
  </si>
  <si>
    <t>Total - 2°Trimestre</t>
  </si>
  <si>
    <t>Total do Semestre</t>
  </si>
  <si>
    <t>JANEIRO</t>
  </si>
  <si>
    <t>FEVEREIRO</t>
  </si>
  <si>
    <t xml:space="preserve">MARÇO 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</si>
  <si>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</si>
  <si>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</si>
  <si>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</si>
  <si>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</si>
  <si>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</si>
  <si>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</si>
  <si>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</si>
  <si>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</si>
  <si>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</si>
  <si>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</si>
  <si>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</si>
  <si>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</si>
  <si>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 xml:space="preserve">ACADEMIA </t>
  </si>
  <si>
    <t>TOTAL DE CONTAS</t>
  </si>
  <si>
    <t>SALDO</t>
  </si>
  <si>
    <t>CONTAS A PAGAR</t>
  </si>
  <si>
    <t>MARÇO</t>
  </si>
  <si>
    <t>Coluna1</t>
  </si>
  <si>
    <t>N°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</si>
  <si>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</si>
  <si>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</si>
  <si>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</si>
  <si>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</si>
  <si>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</si>
  <si>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</si>
  <si>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</si>
  <si>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</si>
  <si>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</si>
  <si>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</si>
  <si>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</si>
  <si>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</si>
  <si>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</si>
  <si>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</si>
  <si>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</si>
  <si>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Araras Informática - Hardware e Software                                                                                       Rua São Franscisco de Assis, 123 - Araras SP</t>
  </si>
  <si>
    <t>Valor do Dólar</t>
  </si>
  <si>
    <t>Produtos</t>
  </si>
  <si>
    <t>Quantidade</t>
  </si>
  <si>
    <t>Preço Unitário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</si>
  <si>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</si>
  <si>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</si>
  <si>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</si>
  <si>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</si>
  <si>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</si>
  <si>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</si>
  <si>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</si>
  <si>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</si>
  <si>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</si>
  <si>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Papelaria Papel Branco</t>
  </si>
  <si>
    <t>Projeção para o ano de 2023</t>
  </si>
  <si>
    <t>Receita Bruta</t>
  </si>
  <si>
    <t>Jan-Mar</t>
  </si>
  <si>
    <t>Abr-Jun</t>
  </si>
  <si>
    <t>Jul-Set</t>
  </si>
  <si>
    <t>Out-Dez</t>
  </si>
  <si>
    <t>Total do Ano</t>
  </si>
  <si>
    <t xml:space="preserve">Despesa Líquida </t>
  </si>
  <si>
    <t>Salários</t>
  </si>
  <si>
    <t>Juros</t>
  </si>
  <si>
    <t>Aluguel</t>
  </si>
  <si>
    <t>Suprimentos</t>
  </si>
  <si>
    <t>Propaganda</t>
  </si>
  <si>
    <t>Diversos</t>
  </si>
  <si>
    <t>Total do Trimestre</t>
  </si>
  <si>
    <t>Receita Líquida</t>
  </si>
  <si>
    <t>Valor Acumulado do ano de Despesas</t>
  </si>
  <si>
    <t>$</t>
  </si>
  <si>
    <t>Prejuízo</t>
  </si>
  <si>
    <t xml:space="preserve"> 113.000,00 </t>
  </si>
  <si>
    <t xml:space="preserve"> 162.810,00 </t>
  </si>
  <si>
    <t xml:space="preserve"> 207.870,00 </t>
  </si>
  <si>
    <t xml:space="preserve"> 270.231,00 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</si>
  <si>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</si>
  <si>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</si>
  <si>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</si>
  <si>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</si>
  <si>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</si>
  <si>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</si>
  <si>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</si>
  <si>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</si>
  <si>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</si>
  <si>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</si>
  <si>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</si>
  <si>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</si>
  <si>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Mais 1000,00</t>
  </si>
  <si>
    <t>Até 1000,00</t>
  </si>
  <si>
    <t>Endereço</t>
  </si>
  <si>
    <t>Bairro</t>
  </si>
  <si>
    <t>Cidade</t>
  </si>
  <si>
    <t>Estado</t>
  </si>
  <si>
    <t>Ana</t>
  </si>
  <si>
    <t>Érica</t>
  </si>
  <si>
    <t>Fernanda</t>
  </si>
  <si>
    <t>Katiane</t>
  </si>
  <si>
    <t>Lilian</t>
  </si>
  <si>
    <t>Lucimara</t>
  </si>
  <si>
    <t>Pedro</t>
  </si>
  <si>
    <t>Roberto</t>
  </si>
  <si>
    <t>Rubens</t>
  </si>
  <si>
    <t>Sônia</t>
  </si>
  <si>
    <t>Tatiane</t>
  </si>
  <si>
    <t>Centro</t>
  </si>
  <si>
    <t>São Benedito</t>
  </si>
  <si>
    <t>Jd. Nova Campinas</t>
  </si>
  <si>
    <t>Praia Grande</t>
  </si>
  <si>
    <t>Jd. Europa</t>
  </si>
  <si>
    <t>Vila Tubarão</t>
  </si>
  <si>
    <t>Jd. Paulista</t>
  </si>
  <si>
    <t>Ibirapuera</t>
  </si>
  <si>
    <t>Botafogo</t>
  </si>
  <si>
    <t>Belvedere</t>
  </si>
  <si>
    <t>Vila Cláudia</t>
  </si>
  <si>
    <t>Parque Industrial</t>
  </si>
  <si>
    <t>Leme</t>
  </si>
  <si>
    <t>Araras</t>
  </si>
  <si>
    <t>Salvador</t>
  </si>
  <si>
    <t>Campinas</t>
  </si>
  <si>
    <t>Ubatuba</t>
  </si>
  <si>
    <t>Recife</t>
  </si>
  <si>
    <t>Rio Claro</t>
  </si>
  <si>
    <t>Ribeirão Preto</t>
  </si>
  <si>
    <t>Florianópolis</t>
  </si>
  <si>
    <t>Manaus</t>
  </si>
  <si>
    <t>Rio de Janeiro</t>
  </si>
  <si>
    <t>Porto Alegre</t>
  </si>
  <si>
    <t>Poços de Caldas</t>
  </si>
  <si>
    <t>SP</t>
  </si>
  <si>
    <t>BA</t>
  </si>
  <si>
    <t>PE</t>
  </si>
  <si>
    <t>SC</t>
  </si>
  <si>
    <t>AM</t>
  </si>
  <si>
    <t>RJ</t>
  </si>
  <si>
    <t>RS</t>
  </si>
  <si>
    <t>MG</t>
  </si>
  <si>
    <t>Rodovia Anhanguyera, km 180</t>
  </si>
  <si>
    <t>R. Antônio de Castro, 362</t>
  </si>
  <si>
    <t>R. Tiradentes. 123</t>
  </si>
  <si>
    <t>Av. Orozimbo Maia, 987</t>
  </si>
  <si>
    <t>Rodovia Rio/São Paulo, km 77</t>
  </si>
  <si>
    <t>R. Júlio Mesquita, 66</t>
  </si>
  <si>
    <t>R. 5, 78</t>
  </si>
  <si>
    <t>R. Lambarildo Peixe, 812</t>
  </si>
  <si>
    <t>Av. dos Jequitibas, 11</t>
  </si>
  <si>
    <t>Av. Ipiranga, 568</t>
  </si>
  <si>
    <t>R. Sergipe, 765</t>
  </si>
  <si>
    <t>Av. Limeira, 98</t>
  </si>
  <si>
    <t>Al. Dos Laranjais, 99</t>
  </si>
  <si>
    <t>R. das Quaresmeiras, 810</t>
  </si>
  <si>
    <t>R. Minas Gerais, 67</t>
  </si>
  <si>
    <t xml:space="preserve">Cidade </t>
  </si>
  <si>
    <t>Coluna2</t>
  </si>
  <si>
    <t>Coluna3</t>
  </si>
  <si>
    <t>Coluna4</t>
  </si>
  <si>
    <t>Coluna5</t>
  </si>
  <si>
    <t>Bolsa de Valores</t>
  </si>
  <si>
    <t>Relação de Movimentação Financeira da Semana</t>
  </si>
  <si>
    <t>Dias da Semana</t>
  </si>
  <si>
    <t>Valor Máximo</t>
  </si>
  <si>
    <t xml:space="preserve"> Valor Mínimo</t>
  </si>
  <si>
    <t>Abertura do Pregão</t>
  </si>
  <si>
    <t>Fechamento</t>
  </si>
  <si>
    <t>Segunda-Feira</t>
  </si>
  <si>
    <t>Terça-Feira</t>
  </si>
  <si>
    <t>Quarta-Feira</t>
  </si>
  <si>
    <t>Quinta-Feira</t>
  </si>
  <si>
    <t>Sexta-Feira</t>
  </si>
  <si>
    <t>Tabela de Preços</t>
  </si>
  <si>
    <t>Porcentagem de Lucro</t>
  </si>
  <si>
    <t>Borracha</t>
  </si>
  <si>
    <t>Caderno 100 fls</t>
  </si>
  <si>
    <t>Caderno 200 fls</t>
  </si>
  <si>
    <t>Lapiseira</t>
  </si>
  <si>
    <t>Régua 15cm</t>
  </si>
  <si>
    <t>Régua 30cm</t>
  </si>
  <si>
    <t>Giz de Cera</t>
  </si>
  <si>
    <t>Cola</t>
  </si>
  <si>
    <t>Compasso</t>
  </si>
  <si>
    <t>Totais</t>
  </si>
  <si>
    <t>Estoque</t>
  </si>
  <si>
    <t>Custo</t>
  </si>
  <si>
    <t>Venda</t>
  </si>
  <si>
    <t>Total</t>
  </si>
  <si>
    <t xml:space="preserve"> Custo</t>
  </si>
  <si>
    <t>Reais</t>
  </si>
  <si>
    <t>Dolár</t>
  </si>
  <si>
    <t>Empresa Papelaria Livro Caro R. Tiradentes, 1234 Araras/SP</t>
  </si>
  <si>
    <t>Venda2</t>
  </si>
  <si>
    <t>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</si>
</sst>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9" formatCode="0.0%"/>
    <numFmt numFmtId="172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/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44" fontId="3" fillId="0" borderId="12" xfId="1" applyFont="1" applyBorder="1"/>
    <xf numFmtId="44" fontId="3" fillId="0" borderId="13" xfId="1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44" fontId="0" fillId="0" borderId="0" xfId="0" applyNumberFormat="1" applyFill="1"/>
    <xf numFmtId="44" fontId="3" fillId="0" borderId="12" xfId="0" applyNumberFormat="1" applyFont="1" applyBorder="1"/>
    <xf numFmtId="0" fontId="0" fillId="5" borderId="10" xfId="0" applyFill="1" applyBorder="1" applyAlignment="1">
      <alignment horizontal="center"/>
    </xf>
    <xf numFmtId="44" fontId="3" fillId="4" borderId="10" xfId="0" applyNumberFormat="1" applyFont="1" applyFill="1" applyBorder="1"/>
    <xf numFmtId="0" fontId="0" fillId="6" borderId="14" xfId="0" applyFill="1" applyBorder="1"/>
    <xf numFmtId="44" fontId="0" fillId="0" borderId="14" xfId="0" applyNumberFormat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4" fontId="4" fillId="0" borderId="0" xfId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172" fontId="0" fillId="0" borderId="0" xfId="0" applyNumberFormat="1" applyFont="1" applyAlignment="1">
      <alignment horizontal="center" vertical="center"/>
    </xf>
    <xf numFmtId="0" fontId="0" fillId="9" borderId="0" xfId="0" applyFill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43" fontId="0" fillId="0" borderId="14" xfId="2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43" fontId="0" fillId="0" borderId="14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43" fontId="0" fillId="0" borderId="14" xfId="0" applyNumberFormat="1" applyBorder="1"/>
    <xf numFmtId="0" fontId="0" fillId="0" borderId="18" xfId="0" applyBorder="1" applyAlignment="1">
      <alignment horizontal="left" vertical="center"/>
    </xf>
    <xf numFmtId="43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43" fontId="0" fillId="0" borderId="19" xfId="2" applyFont="1" applyBorder="1" applyAlignment="1">
      <alignment horizontal="center" vertical="center"/>
    </xf>
    <xf numFmtId="43" fontId="0" fillId="0" borderId="25" xfId="0" applyNumberForma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0" fontId="0" fillId="0" borderId="21" xfId="0" applyBorder="1"/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3" fontId="0" fillId="0" borderId="22" xfId="0" applyNumberFormat="1" applyBorder="1" applyAlignment="1">
      <alignment horizontal="center" vertical="center"/>
    </xf>
    <xf numFmtId="43" fontId="0" fillId="0" borderId="23" xfId="0" applyNumberForma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3" fontId="5" fillId="0" borderId="19" xfId="0" applyNumberFormat="1" applyFont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/>
    </xf>
    <xf numFmtId="0" fontId="0" fillId="0" borderId="26" xfId="0" applyBorder="1"/>
    <xf numFmtId="0" fontId="0" fillId="0" borderId="10" xfId="0" applyBorder="1"/>
    <xf numFmtId="9" fontId="0" fillId="0" borderId="26" xfId="3" applyFont="1" applyBorder="1"/>
    <xf numFmtId="9" fontId="0" fillId="0" borderId="10" xfId="3" applyFont="1" applyBorder="1"/>
    <xf numFmtId="44" fontId="0" fillId="0" borderId="14" xfId="1" applyFont="1" applyBorder="1"/>
    <xf numFmtId="0" fontId="0" fillId="0" borderId="18" xfId="0" applyBorder="1"/>
    <xf numFmtId="44" fontId="0" fillId="0" borderId="20" xfId="1" applyFont="1" applyBorder="1"/>
    <xf numFmtId="0" fontId="0" fillId="0" borderId="22" xfId="0" applyBorder="1"/>
    <xf numFmtId="44" fontId="0" fillId="0" borderId="19" xfId="1" applyFont="1" applyBorder="1"/>
    <xf numFmtId="44" fontId="0" fillId="0" borderId="25" xfId="1" applyFont="1" applyBorder="1"/>
    <xf numFmtId="0" fontId="0" fillId="11" borderId="14" xfId="0" applyFill="1" applyBorder="1"/>
    <xf numFmtId="0" fontId="0" fillId="0" borderId="14" xfId="0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/>
    </xf>
    <xf numFmtId="172" fontId="0" fillId="0" borderId="14" xfId="0" applyNumberFormat="1" applyBorder="1"/>
    <xf numFmtId="172" fontId="0" fillId="0" borderId="19" xfId="0" applyNumberFormat="1" applyBorder="1"/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172" fontId="0" fillId="0" borderId="20" xfId="0" applyNumberFormat="1" applyBorder="1"/>
    <xf numFmtId="172" fontId="0" fillId="0" borderId="25" xfId="0" applyNumberFormat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44" fontId="0" fillId="0" borderId="34" xfId="1" applyFont="1" applyBorder="1"/>
    <xf numFmtId="44" fontId="0" fillId="0" borderId="34" xfId="0" applyNumberFormat="1" applyBorder="1"/>
    <xf numFmtId="172" fontId="0" fillId="0" borderId="34" xfId="0" applyNumberFormat="1" applyBorder="1"/>
    <xf numFmtId="172" fontId="0" fillId="0" borderId="35" xfId="0" applyNumberFormat="1" applyBorder="1"/>
    <xf numFmtId="0" fontId="0" fillId="0" borderId="27" xfId="0" applyBorder="1" applyAlignment="1">
      <alignment horizontal="center" wrapText="1"/>
    </xf>
    <xf numFmtId="169" fontId="0" fillId="0" borderId="28" xfId="3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169" fontId="0" fillId="0" borderId="30" xfId="3" applyNumberFormat="1" applyFont="1" applyBorder="1"/>
    <xf numFmtId="0" fontId="0" fillId="0" borderId="31" xfId="0" applyBorder="1" applyAlignment="1">
      <alignment horizontal="center"/>
    </xf>
    <xf numFmtId="172" fontId="0" fillId="0" borderId="32" xfId="0" applyNumberFormat="1" applyBorder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9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-* #,##0.00_-;\-* #,##0.00_-;_-* &quot;-&quot;??_-;_-@_-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Relação de Movimentação</a:t>
            </a:r>
            <a:r>
              <a:rPr lang="pt-BR" baseline="0">
                <a:solidFill>
                  <a:schemeClr val="tx1"/>
                </a:solidFill>
              </a:rPr>
              <a:t> Financeira da Semana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 8'!$B$4</c:f>
              <c:strCache>
                <c:ptCount val="1"/>
                <c:pt idx="0">
                  <c:v>Valor Máximo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8'!$B$5:$B$9</c:f>
              <c:numCache>
                <c:formatCode>_(* #,##0.00_);_(* \(#,##0.00\);_(* "-"??_);_(@_)</c:formatCode>
                <c:ptCount val="5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5-4F05-8DF1-7FBD4B39F1DE}"/>
            </c:ext>
          </c:extLst>
        </c:ser>
        <c:ser>
          <c:idx val="1"/>
          <c:order val="1"/>
          <c:tx>
            <c:strRef>
              <c:f>'Exercício 8'!$C$4</c:f>
              <c:strCache>
                <c:ptCount val="1"/>
                <c:pt idx="0">
                  <c:v> Valor Mínimo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8'!$C$5:$C$9</c:f>
              <c:numCache>
                <c:formatCode>_(* #,##0.00_);_(* \(#,##0.00\);_(* "-"??_);_(@_)</c:formatCode>
                <c:ptCount val="5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5-4F05-8DF1-7FBD4B39F1DE}"/>
            </c:ext>
          </c:extLst>
        </c:ser>
        <c:ser>
          <c:idx val="2"/>
          <c:order val="2"/>
          <c:tx>
            <c:strRef>
              <c:f>'Exercício 8'!$D$4</c:f>
              <c:strCache>
                <c:ptCount val="1"/>
                <c:pt idx="0">
                  <c:v>Fechamento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8'!$D$5:$D$9</c:f>
              <c:numCache>
                <c:formatCode>_(* #,##0.00_);_(* \(#,##0.00\);_(* "-"??_);_(@_)</c:formatCode>
                <c:ptCount val="5"/>
                <c:pt idx="0">
                  <c:v>23900.799999999999</c:v>
                </c:pt>
                <c:pt idx="1">
                  <c:v>24019</c:v>
                </c:pt>
                <c:pt idx="2">
                  <c:v>14139.6</c:v>
                </c:pt>
                <c:pt idx="3">
                  <c:v>24260</c:v>
                </c:pt>
                <c:pt idx="4">
                  <c:v>24381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5-4F05-8DF1-7FBD4B39F1DE}"/>
            </c:ext>
          </c:extLst>
        </c:ser>
        <c:ser>
          <c:idx val="3"/>
          <c:order val="3"/>
          <c:tx>
            <c:strRef>
              <c:f>'Exercício 8'!$E$4</c:f>
              <c:strCache>
                <c:ptCount val="1"/>
                <c:pt idx="0">
                  <c:v>Abertura do Pregão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8'!$E$5:$E$9</c:f>
              <c:numCache>
                <c:formatCode>_(* #,##0.00_);_(* \(#,##0.00\);_(* "-"??_);_(@_)</c:formatCode>
                <c:ptCount val="5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5-4F05-8DF1-7FBD4B39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870143"/>
        <c:axId val="855010751"/>
      </c:barChart>
      <c:catAx>
        <c:axId val="96887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ln>
                      <a:noFill/>
                    </a:ln>
                    <a:solidFill>
                      <a:schemeClr val="tx1"/>
                    </a:solidFill>
                  </a:rPr>
                  <a:t>Dias</a:t>
                </a:r>
                <a:r>
                  <a:rPr lang="pt-BR" sz="1400" baseline="0">
                    <a:ln>
                      <a:noFill/>
                    </a:ln>
                    <a:solidFill>
                      <a:schemeClr val="tx1"/>
                    </a:solidFill>
                  </a:rPr>
                  <a:t> da Semana</a:t>
                </a:r>
                <a:endParaRPr lang="pt-BR" sz="1400">
                  <a:ln>
                    <a:noFill/>
                  </a:ln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>
              <a:softEdge rad="38100"/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010751"/>
        <c:crosses val="autoZero"/>
        <c:auto val="1"/>
        <c:lblAlgn val="ctr"/>
        <c:lblOffset val="100"/>
        <c:noMultiLvlLbl val="0"/>
      </c:catAx>
      <c:valAx>
        <c:axId val="855010751"/>
        <c:scaling>
          <c:orientation val="minMax"/>
          <c:max val="24500"/>
          <c:min val="2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chemeClr val="tx1"/>
                    </a:solidFill>
                  </a:rPr>
                  <a:t>Valores Diários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870143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'Exercício 9'!$C$7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9'!$C$8:$C$18</c:f>
              <c:numCache>
                <c:formatCode>_("R$"* #,##0.00_);_("R$"* \(#,##0.00\);_("R$"* "-"??_);_(@_)</c:formatCode>
                <c:ptCount val="11"/>
                <c:pt idx="0">
                  <c:v>0.5</c:v>
                </c:pt>
                <c:pt idx="1">
                  <c:v>2.57</c:v>
                </c:pt>
                <c:pt idx="2">
                  <c:v>5</c:v>
                </c:pt>
                <c:pt idx="3">
                  <c:v>0.15</c:v>
                </c:pt>
                <c:pt idx="4">
                  <c:v>0.15</c:v>
                </c:pt>
                <c:pt idx="5">
                  <c:v>3</c:v>
                </c:pt>
                <c:pt idx="6">
                  <c:v>0.25</c:v>
                </c:pt>
                <c:pt idx="7">
                  <c:v>0.35</c:v>
                </c:pt>
                <c:pt idx="8">
                  <c:v>6</c:v>
                </c:pt>
                <c:pt idx="9">
                  <c:v>3.14</c:v>
                </c:pt>
                <c:pt idx="1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7-41FA-97DD-A4AFF65D4147}"/>
            </c:ext>
          </c:extLst>
        </c:ser>
        <c:ser>
          <c:idx val="1"/>
          <c:order val="1"/>
          <c:tx>
            <c:strRef>
              <c:f>'Exercício 9'!$D$7</c:f>
              <c:strCache>
                <c:ptCount val="1"/>
                <c:pt idx="0">
                  <c:v>Venda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9'!$D$8:$D$18</c:f>
              <c:numCache>
                <c:formatCode>_("R$"* #,##0.00_);_("R$"* \(#,##0.00\);_("R$"* "-"??_);_(@_)</c:formatCode>
                <c:ptCount val="11"/>
                <c:pt idx="0">
                  <c:v>0.55000000000000004</c:v>
                </c:pt>
                <c:pt idx="1">
                  <c:v>2.7</c:v>
                </c:pt>
                <c:pt idx="2">
                  <c:v>5.5</c:v>
                </c:pt>
                <c:pt idx="3">
                  <c:v>0.25</c:v>
                </c:pt>
                <c:pt idx="4">
                  <c:v>0.25</c:v>
                </c:pt>
                <c:pt idx="5">
                  <c:v>3.5</c:v>
                </c:pt>
                <c:pt idx="6">
                  <c:v>0.3</c:v>
                </c:pt>
                <c:pt idx="7">
                  <c:v>0.45</c:v>
                </c:pt>
                <c:pt idx="8">
                  <c:v>6.5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7-41FA-97DD-A4AFF65D4147}"/>
            </c:ext>
          </c:extLst>
        </c:ser>
        <c:ser>
          <c:idx val="2"/>
          <c:order val="2"/>
          <c:tx>
            <c:strRef>
              <c:f>'Exercício 9'!$E$7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9'!$E$8:$E$18</c:f>
              <c:numCache>
                <c:formatCode>_("R$"* #,##0.00_);_("R$"* \(#,##0.00\);_("R$"* "-"??_);_(@_)</c:formatCode>
                <c:ptCount val="11"/>
                <c:pt idx="0">
                  <c:v>275</c:v>
                </c:pt>
                <c:pt idx="1">
                  <c:v>540</c:v>
                </c:pt>
                <c:pt idx="2">
                  <c:v>1650</c:v>
                </c:pt>
                <c:pt idx="3">
                  <c:v>250</c:v>
                </c:pt>
                <c:pt idx="4">
                  <c:v>250</c:v>
                </c:pt>
                <c:pt idx="5">
                  <c:v>700</c:v>
                </c:pt>
                <c:pt idx="6">
                  <c:v>150</c:v>
                </c:pt>
                <c:pt idx="7">
                  <c:v>225</c:v>
                </c:pt>
                <c:pt idx="8">
                  <c:v>325</c:v>
                </c:pt>
                <c:pt idx="9">
                  <c:v>400</c:v>
                </c:pt>
                <c:pt idx="10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7-41FA-97DD-A4AFF65D4147}"/>
            </c:ext>
          </c:extLst>
        </c:ser>
        <c:ser>
          <c:idx val="3"/>
          <c:order val="3"/>
          <c:tx>
            <c:strRef>
              <c:f>'Exercício 9'!$F$7</c:f>
              <c:strCache>
                <c:ptCount val="1"/>
                <c:pt idx="0">
                  <c:v> Custo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9'!$F$8:$F$18</c:f>
              <c:numCache>
                <c:formatCode>_-[$$-409]* #,##0.00_ ;_-[$$-409]* \-#,##0.00\ ;_-[$$-409]* "-"??_ ;_-@_ </c:formatCode>
                <c:ptCount val="11"/>
                <c:pt idx="0">
                  <c:v>0.14970059880239522</c:v>
                </c:pt>
                <c:pt idx="1">
                  <c:v>0.76946107784431139</c:v>
                </c:pt>
                <c:pt idx="2">
                  <c:v>1.4970059880239521</c:v>
                </c:pt>
                <c:pt idx="3">
                  <c:v>4.4910179640718563E-2</c:v>
                </c:pt>
                <c:pt idx="4">
                  <c:v>4.4910179640718563E-2</c:v>
                </c:pt>
                <c:pt idx="5">
                  <c:v>0.89820359281437134</c:v>
                </c:pt>
                <c:pt idx="6">
                  <c:v>7.4850299401197612E-2</c:v>
                </c:pt>
                <c:pt idx="7">
                  <c:v>0.10479041916167664</c:v>
                </c:pt>
                <c:pt idx="8">
                  <c:v>1.7964071856287427</c:v>
                </c:pt>
                <c:pt idx="9">
                  <c:v>0.940119760479042</c:v>
                </c:pt>
                <c:pt idx="10">
                  <c:v>1.7005988023952097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7-41FA-97DD-A4AFF65D4147}"/>
            </c:ext>
          </c:extLst>
        </c:ser>
        <c:ser>
          <c:idx val="4"/>
          <c:order val="4"/>
          <c:tx>
            <c:strRef>
              <c:f>'Exercício 9'!$G$7</c:f>
              <c:strCache>
                <c:ptCount val="1"/>
                <c:pt idx="0">
                  <c:v>Venda2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9'!$G$8:$G$18</c:f>
              <c:numCache>
                <c:formatCode>_-[$$-409]* #,##0.00_ ;_-[$$-409]* \-#,##0.00\ ;_-[$$-409]* "-"??_ ;_-@_ </c:formatCode>
                <c:ptCount val="11"/>
                <c:pt idx="0">
                  <c:v>0.16841317365269462</c:v>
                </c:pt>
                <c:pt idx="1">
                  <c:v>0.86564371257485029</c:v>
                </c:pt>
                <c:pt idx="2">
                  <c:v>1.6841317365269461</c:v>
                </c:pt>
                <c:pt idx="3">
                  <c:v>5.0523952095808386E-2</c:v>
                </c:pt>
                <c:pt idx="4">
                  <c:v>5.0523952095808386E-2</c:v>
                </c:pt>
                <c:pt idx="5">
                  <c:v>1.0104790419161678</c:v>
                </c:pt>
                <c:pt idx="6">
                  <c:v>8.420658682634731E-2</c:v>
                </c:pt>
                <c:pt idx="7">
                  <c:v>0.11788922155688622</c:v>
                </c:pt>
                <c:pt idx="8">
                  <c:v>2.0209580838323356</c:v>
                </c:pt>
                <c:pt idx="9">
                  <c:v>1.0576347305389222</c:v>
                </c:pt>
                <c:pt idx="10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7-41FA-97DD-A4AFF65D4147}"/>
            </c:ext>
          </c:extLst>
        </c:ser>
        <c:ser>
          <c:idx val="5"/>
          <c:order val="5"/>
          <c:tx>
            <c:strRef>
              <c:f>'Exercício 9'!$H$7</c:f>
              <c:strCache>
                <c:ptCount val="1"/>
                <c:pt idx="0">
                  <c:v>Total3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9'!$H$8:$H$18</c:f>
              <c:numCache>
                <c:formatCode>_-[$$-409]* #,##0.00_ ;_-[$$-409]* \-#,##0.00\ ;_-[$$-409]* "-"??_ ;_-@_ </c:formatCode>
                <c:ptCount val="11"/>
                <c:pt idx="0">
                  <c:v>84.206586826347305</c:v>
                </c:pt>
                <c:pt idx="1">
                  <c:v>173.12874251497007</c:v>
                </c:pt>
                <c:pt idx="2">
                  <c:v>505.23952095808386</c:v>
                </c:pt>
                <c:pt idx="3">
                  <c:v>50.523952095808383</c:v>
                </c:pt>
                <c:pt idx="4">
                  <c:v>50.523952095808383</c:v>
                </c:pt>
                <c:pt idx="5">
                  <c:v>202.09580838323356</c:v>
                </c:pt>
                <c:pt idx="6">
                  <c:v>42.103293413173652</c:v>
                </c:pt>
                <c:pt idx="7">
                  <c:v>58.944610778443113</c:v>
                </c:pt>
                <c:pt idx="8">
                  <c:v>101.04790419161678</c:v>
                </c:pt>
                <c:pt idx="9">
                  <c:v>105.76347305389223</c:v>
                </c:pt>
                <c:pt idx="10">
                  <c:v>191.31736526946108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7-41FA-97DD-A4AFF65D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676639"/>
        <c:axId val="973653375"/>
        <c:axId val="1009583135"/>
      </c:line3DChart>
      <c:catAx>
        <c:axId val="100667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3375"/>
        <c:crosses val="autoZero"/>
        <c:auto val="1"/>
        <c:lblAlgn val="ctr"/>
        <c:lblOffset val="100"/>
        <c:noMultiLvlLbl val="0"/>
      </c:catAx>
      <c:valAx>
        <c:axId val="9736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76639"/>
        <c:crosses val="autoZero"/>
        <c:crossBetween val="between"/>
      </c:valAx>
      <c:serAx>
        <c:axId val="1009583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33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166687</xdr:rowOff>
    </xdr:from>
    <xdr:to>
      <xdr:col>4</xdr:col>
      <xdr:colOff>1104900</xdr:colOff>
      <xdr:row>24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78C954-A08D-4471-8210-47E8578A9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20</xdr:row>
      <xdr:rowOff>61912</xdr:rowOff>
    </xdr:from>
    <xdr:to>
      <xdr:col>6</xdr:col>
      <xdr:colOff>600075</xdr:colOff>
      <xdr:row>34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49F56E-BFC1-475F-BD92-A8150BF39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ACE9C-FF3A-4839-8C0F-25F247499664}" name="Tabela1" displayName="Tabela1" ref="A2:I9" totalsRowShown="0" headerRowDxfId="97">
  <autoFilter ref="A2:I9" xr:uid="{F26ACE9C-FF3A-4839-8C0F-25F247499664}"/>
  <tableColumns count="9">
    <tableColumn id="1" xr3:uid="{146FEA82-82A3-46EC-9520-762AB92CCEFC}" name="Código" dataDxfId="96"/>
    <tableColumn id="2" xr3:uid="{61B293AB-04B8-4FA4-99ED-EC0712814848}" name="Produto"/>
    <tableColumn id="3" xr3:uid="{8C7CDFA7-B8E3-48DE-928F-71C7FCFC73A5}" name="Janeiro" dataDxfId="95" dataCellStyle="Moeda"/>
    <tableColumn id="4" xr3:uid="{2EC3E740-7AA5-4F2D-BF89-F499F962141A}" name="Fevereiro" dataDxfId="94" dataCellStyle="Moeda"/>
    <tableColumn id="5" xr3:uid="{A1388CAA-EFEE-455C-9AFA-27192290D7A7}" name=" Março" dataDxfId="93" dataCellStyle="Moeda"/>
    <tableColumn id="6" xr3:uid="{3AA48A10-457A-4B3A-AE4F-84880B050FA8}" name="Total - 1°Trimestre" dataDxfId="92">
      <calculatedColumnFormula>SUM(C3:E3)</calculatedColumnFormula>
    </tableColumn>
    <tableColumn id="7" xr3:uid="{E4AB1223-7A4D-42B7-99F9-CA44DC172580}" name="Máximo" dataDxfId="91">
      <calculatedColumnFormula>MAX(C3:E3)</calculatedColumnFormula>
    </tableColumn>
    <tableColumn id="8" xr3:uid="{C5755AB7-D723-4C62-B33F-6070B04FC3EF}" name="Mínimo" dataDxfId="90">
      <calculatedColumnFormula>MIN(C3:E3)</calculatedColumnFormula>
    </tableColumn>
    <tableColumn id="9" xr3:uid="{D7C87FF8-BFAD-44CB-9F25-34DC94691060}" name="Média" dataDxfId="89">
      <calculatedColumnFormula>AVERAGE(C3:E3)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738BF-AF8D-4C1D-BA1C-FAFE00EBAF4B}" name="Tabela2" displayName="Tabela2" ref="A11:I18" totalsRowShown="0" headerRowDxfId="88">
  <autoFilter ref="A11:I18" xr:uid="{5AE738BF-AF8D-4C1D-BA1C-FAFE00EBAF4B}"/>
  <tableColumns count="9">
    <tableColumn id="1" xr3:uid="{EEF937E9-C327-4389-BB6E-6F45DB4BB40B}" name="Código" dataDxfId="87"/>
    <tableColumn id="2" xr3:uid="{EBD61221-1ABC-4672-AAA8-21CD3C41ABE0}" name="Produto"/>
    <tableColumn id="3" xr3:uid="{D372B6A7-FB1A-4654-A6B8-FC688307E2C5}" name="Abril" dataDxfId="86" dataCellStyle="Moeda"/>
    <tableColumn id="4" xr3:uid="{57F2F9D0-CCDE-4CB4-B31F-696888D804F5}" name="Maio" dataDxfId="85" dataCellStyle="Moeda"/>
    <tableColumn id="5" xr3:uid="{6D26FD64-EF82-4679-BA1E-58FFB851AB5E}" name="Junho" dataDxfId="84" dataCellStyle="Moeda"/>
    <tableColumn id="6" xr3:uid="{1319063A-2CD1-4B1F-ACE8-4FAEC9974BA2}" name="Total - 2°Trimestre" dataDxfId="83">
      <calculatedColumnFormula>SUM(C12:E12)</calculatedColumnFormula>
    </tableColumn>
    <tableColumn id="7" xr3:uid="{5CC1BFBE-F234-4918-A1E6-865DD8362526}" name="Máximo" dataDxfId="82">
      <calculatedColumnFormula>MAX(C12:E12)</calculatedColumnFormula>
    </tableColumn>
    <tableColumn id="8" xr3:uid="{4FC4EA85-9FF9-4C6E-972F-CEE20BFA72EB}" name="Mínimo" dataDxfId="81">
      <calculatedColumnFormula>MIN(C12:E12)</calculatedColumnFormula>
    </tableColumn>
    <tableColumn id="9" xr3:uid="{249A92D2-EEF3-45F6-8E60-0018DAF86313}" name="Média" dataDxfId="80">
      <calculatedColumnFormula>AVERAGE(C12:E12)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1B947-CE3E-4D6C-A7EA-C82D3A940877}" name="Tabela3" displayName="Tabela3" ref="A3:G4" totalsRowShown="0">
  <autoFilter ref="A3:G4" xr:uid="{88C1B947-CE3E-4D6C-A7EA-C82D3A940877}"/>
  <tableColumns count="7">
    <tableColumn id="1" xr3:uid="{E74C62EC-2C36-4072-86E2-ECD96474B666}" name="Coluna1"/>
    <tableColumn id="2" xr3:uid="{DF22D5D6-D4CF-4CE5-ACC4-93F6CCACC4B1}" name="JANEIRO"/>
    <tableColumn id="3" xr3:uid="{05AE07E0-87CF-4809-8145-362EEAF2380D}" name="FEVEREIRO"/>
    <tableColumn id="4" xr3:uid="{8D1D90BA-0968-4A74-AB80-1D59D1CB2C23}" name="MARÇO "/>
    <tableColumn id="5" xr3:uid="{45800FDB-B8FA-4E7B-9708-37174528F98C}" name="ABRIL"/>
    <tableColumn id="6" xr3:uid="{2576AE4C-A296-40E6-8EF2-988FBBD82FBD}" name="MAIO"/>
    <tableColumn id="7" xr3:uid="{A0812905-2DDE-425E-BCEC-BEA3E2792EFB}" name="JUNH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3289CF-E259-4A9D-A2B4-076E7FC9EA84}" name="Tabela4" displayName="Tabela4" ref="A6:G14" totalsRowShown="0" dataDxfId="79" dataCellStyle="Moeda">
  <autoFilter ref="A6:G14" xr:uid="{9D3289CF-E259-4A9D-A2B4-076E7FC9EA84}"/>
  <tableColumns count="7">
    <tableColumn id="1" xr3:uid="{DC033B8B-964A-428E-BBE0-A597DAB1F00B}" name="CONTAS"/>
    <tableColumn id="2" xr3:uid="{5A734725-3202-44E8-95AA-811847FBD730}" name="JANEIRO" dataDxfId="78" dataCellStyle="Moeda"/>
    <tableColumn id="3" xr3:uid="{59495B2C-FA01-4E15-8361-71E663914C0E}" name="FEVEREIRO" dataDxfId="77" dataCellStyle="Moeda"/>
    <tableColumn id="4" xr3:uid="{3D544352-C188-460B-8671-7801D675EF99}" name="MARÇO" dataDxfId="76" dataCellStyle="Moeda"/>
    <tableColumn id="5" xr3:uid="{AF8A7FBD-BEAE-462C-A299-94D88B40B3BC}" name="ABRIL" dataDxfId="75" dataCellStyle="Moeda"/>
    <tableColumn id="6" xr3:uid="{D41166EE-1CB8-4B93-A6C0-160AFE05C098}" name="MAIO" dataDxfId="74" dataCellStyle="Moeda"/>
    <tableColumn id="7" xr3:uid="{29A03C64-EEA4-4494-A4EF-BA442CA22665}" name="JUNHO" dataDxfId="73" dataCellStyle="Moeda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B29CFB-A538-4892-808E-CD119D8BEAD0}" name="Tabela5" displayName="Tabela5" ref="A2:H10" totalsRowShown="0" headerRowDxfId="68">
  <autoFilter ref="A2:H10" xr:uid="{FAAEDB17-7BFD-4360-B4DD-E6844C1ED548}"/>
  <tableColumns count="8">
    <tableColumn id="1" xr3:uid="{CDB6BA51-9621-4BBC-9251-2DB56131B74D}" name="N°" dataDxfId="72"/>
    <tableColumn id="2" xr3:uid="{EEF376D2-A43B-4258-B645-2F226699553E}" name="NOME" dataDxfId="71"/>
    <tableColumn id="3" xr3:uid="{B7E4D8F9-71AE-4E8D-BDF8-05AB07F142FD}" name="Salário Bruto" dataDxfId="70" dataCellStyle="Moeda"/>
    <tableColumn id="4" xr3:uid="{1D55DC08-DCE0-41D6-8DB9-6052F5D1370D}" name="INSS" dataDxfId="69" dataCellStyle="Porcentagem"/>
    <tableColumn id="5" xr3:uid="{4733BBE4-9FAA-4877-9FDB-E582E2780902}" name="Gratificação" dataDxfId="67" dataCellStyle="Porcentagem"/>
    <tableColumn id="6" xr3:uid="{A9309AF0-9E0D-42D2-B463-14DF8EB8ABFB}" name="INSS R$" dataDxfId="66" dataCellStyle="Moeda">
      <calculatedColumnFormula>PRODUCT(D3,C3)</calculatedColumnFormula>
    </tableColumn>
    <tableColumn id="7" xr3:uid="{CB5E37A0-13AB-493B-8E0B-24EEE44F19FE}" name="Gratificação R$" dataDxfId="64" dataCellStyle="Moeda">
      <calculatedColumnFormula>PRODUCT(C3,E3)</calculatedColumnFormula>
    </tableColumn>
    <tableColumn id="8" xr3:uid="{6B51EE55-D9D5-4F6B-91E6-BF1DCE27D2BB}" name="Salário Líquido" dataDxfId="65">
      <calculatedColumnFormula>C3-F3+G3</calculatedColumnFormula>
    </tableColumn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CDE6B8-1F18-4AED-A4EF-25DE93DEB0F9}" name="Tabela6" displayName="Tabela6" ref="A2:E9" totalsRowShown="0" headerRowDxfId="61">
  <autoFilter ref="A2:E9" xr:uid="{96714A7A-C328-40D0-9CF6-BD42C203A094}"/>
  <tableColumns count="5">
    <tableColumn id="1" xr3:uid="{8FE846FF-2047-418C-A5ED-BE45096147E1}" name="Produtos" dataDxfId="63"/>
    <tableColumn id="2" xr3:uid="{774B6866-2F42-4206-882F-B0FACF5E3732}" name="Quantidade" dataDxfId="62"/>
    <tableColumn id="3" xr3:uid="{830E4513-CF41-4DE2-8B19-2B79FD4E304E}" name="Preço Unitário" dataDxfId="60" dataCellStyle="Moeda"/>
    <tableColumn id="4" xr3:uid="{C4F4AE8D-872A-4747-8B30-0534706F5CB6}" name="Total R$" dataDxfId="59">
      <calculatedColumnFormula>B3*C3</calculatedColumnFormula>
    </tableColumn>
    <tableColumn id="5" xr3:uid="{04F69024-314E-4B34-89F0-6575A3CBA714}" name="Total US$" dataDxfId="58">
      <calculatedColumnFormula>D3/$B$11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AD7118-BA02-4F1B-9781-C7374BCBA11B}" name="Tabela7" displayName="Tabela7" ref="A6:F12" totalsRowShown="0" headerRowDxfId="47" dataDxfId="48" headerRowBorderDxfId="56" tableBorderDxfId="57" totalsRowBorderDxfId="55" dataCellStyle="Vírgula">
  <autoFilter ref="A6:F12" xr:uid="{EF7A2E38-A8E4-4432-85C3-A760C7D50D55}"/>
  <tableColumns count="6">
    <tableColumn id="1" xr3:uid="{8E3F1AB2-14FB-4BDA-A473-4B7A02C38FF4}" name="Despesa Líquida " dataDxfId="54"/>
    <tableColumn id="2" xr3:uid="{795AB885-92EE-4670-A331-D35F1E48D1FE}" name="Jan-Mar" dataDxfId="53" dataCellStyle="Vírgula"/>
    <tableColumn id="3" xr3:uid="{83F1AA77-BBA0-4032-8673-C55F16F75394}" name="Abr-Jun" dataDxfId="52" dataCellStyle="Vírgula"/>
    <tableColumn id="4" xr3:uid="{8CC9761D-210E-4730-B508-D9C4936DF462}" name="Jul-Set" dataDxfId="51" dataCellStyle="Vírgula"/>
    <tableColumn id="5" xr3:uid="{3D373FC1-D105-40D8-924C-377DAE1D023C}" name="Out-Dez" dataDxfId="50" dataCellStyle="Vírgula"/>
    <tableColumn id="6" xr3:uid="{01DF480E-638D-4251-A778-4182C67E26BF}" name="Total do Ano" dataDxfId="49">
      <calculatedColumnFormula>SUM(B7:E7)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20C86B-79BC-42CF-8380-7F801BC590C2}" name="Tabela8" displayName="Tabela8" ref="A3:F4" totalsRowShown="0" headerRowDxfId="36" dataDxfId="37" headerRowBorderDxfId="45" tableBorderDxfId="46" totalsRowBorderDxfId="44" dataCellStyle="Vírgula">
  <autoFilter ref="A3:F4" xr:uid="{FD62744B-4D03-488B-A422-7181995E6CFE}"/>
  <tableColumns count="6">
    <tableColumn id="1" xr3:uid="{976F959C-1673-4EB8-A66B-8BADA3E3E4D3}" name="Receita Bruta" dataDxfId="43"/>
    <tableColumn id="2" xr3:uid="{AA4A5D89-14A5-4D07-B1A2-E66A33A36124}" name="Jan-Mar" dataDxfId="42" dataCellStyle="Vírgula"/>
    <tableColumn id="3" xr3:uid="{F1EF143B-F731-4E9B-99BC-81C75873B73D}" name="Abr-Jun" dataDxfId="41" dataCellStyle="Vírgula"/>
    <tableColumn id="4" xr3:uid="{A4557EF2-63A7-4899-A684-1D5BC920B211}" name="Jul-Set" dataDxfId="40" dataCellStyle="Vírgula"/>
    <tableColumn id="5" xr3:uid="{7673F280-2CC7-4B0F-A701-DA04AA1B93D2}" name="Out-Dez" dataDxfId="39" dataCellStyle="Vírgula"/>
    <tableColumn id="6" xr3:uid="{05EB9E9F-BF25-4D09-A89F-5D63D1AE9AD4}" name="Total do Ano" dataDxfId="38">
      <calculatedColumnFormula>SUM(B4:E4)</calculatedColumnFormula>
    </tableColumn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0FE3ED-4C3B-46D9-8B10-A8D127FD8792}" name="Tabela9" displayName="Tabela9" ref="A14:E16" totalsRowShown="0" headerRowDxfId="31" headerRowBorderDxfId="34" tableBorderDxfId="35" totalsRowBorderDxfId="33">
  <autoFilter ref="A14:E16" xr:uid="{9A1EF1BA-5166-4058-84B1-68DD83AA7446}"/>
  <tableColumns count="5">
    <tableColumn id="1" xr3:uid="{53DEEBF1-B6F4-460C-9F81-CC0E31DF6DD4}" name="Total do Trimestre" dataDxfId="32"/>
    <tableColumn id="2" xr3:uid="{DC0908DD-C8E2-4E10-A558-9F92BBAD6DAF}" name=" 113.000,00 " dataDxfId="30">
      <calculatedColumnFormula>B4-B14</calculatedColumnFormula>
    </tableColumn>
    <tableColumn id="3" xr3:uid="{2BB4B7C0-5C91-4849-823E-5591E226B3F1}" name=" 162.810,00 ">
      <calculatedColumnFormula>IF(C14&lt;1000, "Prejuízo Total",IF(C14&lt;=5000, "Lucro Médio", IF( C14&gt;5000,"Lucro Total")))</calculatedColumnFormula>
    </tableColumn>
    <tableColumn id="4" xr3:uid="{3BD88EF1-A28C-42FE-AEB5-108E27887116}" name=" 207.870,00 ">
      <calculatedColumnFormula>IF(D14&lt;1000, "Prejuízo Total",IF(D14&lt;=5000, "Lucro Médio", IF( D14&gt;5000,"Lucro Total")))</calculatedColumnFormula>
    </tableColumn>
    <tableColumn id="5" xr3:uid="{1CBABD16-09E3-486C-B73C-D8685081EC68}" name=" 270.231,00 ">
      <calculatedColumnFormula>IF(E14&lt;1000, "Prejuízo Total",IF(E14&lt;=5000, "Lucro Médio", IF( E14&gt;5000,"Lucro Total")))</calculatedColumnFormula>
    </tableColumn>
  </tableColumns>
  <tableStyleInfo name="TableStyleMedium2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69A5D6-01BD-4DBE-8E70-D90237798AB0}" name="Tabela10" displayName="Tabela10" ref="A1:D9" totalsRowShown="0" headerRowDxfId="22" headerRowBorderDxfId="28" tableBorderDxfId="29" totalsRowBorderDxfId="27">
  <autoFilter ref="A1:D9" xr:uid="{523A635B-4AED-42C5-9232-1F0DF1FA1BC1}"/>
  <tableColumns count="4">
    <tableColumn id="1" xr3:uid="{D0824D5F-DBBC-42B0-8C34-F6AF28C19DBF}" name="Nome" dataDxfId="26"/>
    <tableColumn id="2" xr3:uid="{9760825A-E5F9-4AAC-95E4-095A8ADEB546}" name="Salário" dataDxfId="25" dataCellStyle="Moeda"/>
    <tableColumn id="3" xr3:uid="{CEE171E8-6954-4F28-BB50-A00A408CA45B}" name="Aumento" dataDxfId="24" dataCellStyle="Moeda">
      <calculatedColumnFormula>IF(B2&lt;1000, SUM($G$2*B2),IF(B2&gt;1000,SUM($G$3*B2)))</calculatedColumnFormula>
    </tableColumn>
    <tableColumn id="4" xr3:uid="{6C607983-4F31-4C76-998E-0458044D5A31}" name="Novo Salário" dataDxfId="23" dataCellStyle="Moeda">
      <calculatedColumnFormula>SUM(B2,C2)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F3C1EE-0E2B-414D-8AFF-A4D2E344EEF3}" name="Tabela11" displayName="Tabela11" ref="A1:E17" totalsRowShown="0">
  <autoFilter ref="A1:E17" xr:uid="{99FA6B12-8BCA-4B12-A9C8-29277BD66117}"/>
  <tableColumns count="5">
    <tableColumn id="1" xr3:uid="{D78AAC94-0C2B-4C95-A3C4-356A87B07177}" name="Coluna1"/>
    <tableColumn id="2" xr3:uid="{0A26CCBA-91E8-4C12-96DD-9171B084DE12}" name="Coluna2"/>
    <tableColumn id="3" xr3:uid="{37D53827-CEC3-411C-8E87-224B47EE1269}" name="Coluna3"/>
    <tableColumn id="4" xr3:uid="{4EBEDE57-B737-4666-812B-E800D9BC57FF}" name="Coluna4"/>
    <tableColumn id="5" xr3:uid="{2FB8C5E7-918F-41C7-9116-19CF985DF64D}" name="Coluna5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EA00D2-E67E-421A-9B7E-647DD85FC745}" name="Tabela12" displayName="Tabela12" ref="A4:E9" totalsRowShown="0" headerRowDxfId="12" dataDxfId="18" headerRowBorderDxfId="20" tableBorderDxfId="21" totalsRowBorderDxfId="19" dataCellStyle="Vírgula">
  <autoFilter ref="A4:E9" xr:uid="{295A9B72-1E17-4DA8-B9A5-4232E72B1238}"/>
  <tableColumns count="5">
    <tableColumn id="1" xr3:uid="{6EA01136-88CF-42F0-B8A1-D4A98FB4E2D5}" name="Dias da Semana" dataDxfId="17"/>
    <tableColumn id="2" xr3:uid="{7D49C071-3161-43AF-BBB6-F118DF4D54B2}" name="Valor Máximo" dataDxfId="16" dataCellStyle="Vírgula"/>
    <tableColumn id="3" xr3:uid="{15F24A8C-0247-4A98-83F5-22B817A04846}" name=" Valor Mínimo" dataDxfId="15" dataCellStyle="Vírgula"/>
    <tableColumn id="4" xr3:uid="{DDA93C5A-2D6E-41A6-A978-F956383F4173}" name="Fechamento" dataDxfId="14" dataCellStyle="Vírgula"/>
    <tableColumn id="5" xr3:uid="{E6D1B11B-4E32-4EF8-A47B-93AA371B7ADA}" name="Abertura do Pregão" dataDxfId="13" dataCellStyle="Vírgula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2E5354-BB43-496A-A934-88D5406691E1}" name="Tabela13" displayName="Tabela13" ref="A7:H18" totalsRowShown="0" headerRowDxfId="0" headerRowBorderDxfId="10" tableBorderDxfId="11" totalsRowBorderDxfId="9">
  <autoFilter ref="A7:H18" xr:uid="{5E47CDA5-D7ED-43FC-B8F4-65EAD6DDDDAF}"/>
  <tableColumns count="8">
    <tableColumn id="1" xr3:uid="{92206C90-15C8-489C-A47B-B61C811B8439}" name="Produto" dataDxfId="8"/>
    <tableColumn id="2" xr3:uid="{47362C99-3BB4-482A-9167-F027306B8D3B}" name="Estoque" dataDxfId="7"/>
    <tableColumn id="3" xr3:uid="{818683F7-7BB0-40D8-B16E-3AFA698A7B11}" name="Custo" dataDxfId="6" dataCellStyle="Moeda"/>
    <tableColumn id="4" xr3:uid="{325FC308-CB82-4764-8066-30474362A6BE}" name="Venda" dataDxfId="5" dataCellStyle="Moeda"/>
    <tableColumn id="5" xr3:uid="{0C9CF56E-EA5E-41AC-AEB6-9068709EC418}" name="Total" dataDxfId="4" dataCellStyle="Moeda">
      <calculatedColumnFormula>B8*D8</calculatedColumnFormula>
    </tableColumn>
    <tableColumn id="6" xr3:uid="{8E586D1C-F00E-4652-9F7A-E99EE061869D}" name=" Custo" dataDxfId="3">
      <calculatedColumnFormula>C8/$B$5</calculatedColumnFormula>
    </tableColumn>
    <tableColumn id="7" xr3:uid="{57C4C7E0-80D2-4B9C-A5E3-77D91244E84D}" name="Venda2" dataDxfId="2">
      <calculatedColumnFormula>F8*(1+$B$3)</calculatedColumnFormula>
    </tableColumn>
    <tableColumn id="8" xr3:uid="{CA94F801-5267-4B6A-8B4B-ABD66C0FE040}" name="Total3" dataDxfId="1">
      <calculatedColumnFormula>G8*B8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4FCF-A472-4E2F-A020-BF46715FF20C}">
  <dimension ref="A1:BE104"/>
  <sheetViews>
    <sheetView zoomScale="142" zoomScaleNormal="142" workbookViewId="0">
      <selection activeCell="D21" sqref="D21"/>
    </sheetView>
  </sheetViews>
  <sheetFormatPr defaultRowHeight="15" x14ac:dyDescent="0.25"/>
  <cols>
    <col min="1" max="1" width="17.28515625" bestFit="1" customWidth="1"/>
    <col min="2" max="2" width="14.85546875" bestFit="1" customWidth="1"/>
    <col min="3" max="5" width="13.7109375" bestFit="1" customWidth="1"/>
    <col min="6" max="6" width="18.140625" customWidth="1"/>
    <col min="7" max="9" width="13.7109375" bestFit="1" customWidth="1"/>
  </cols>
  <sheetData>
    <row r="1" spans="1:57" ht="29.25" thickTop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9"/>
    </row>
    <row r="2" spans="1:57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17</v>
      </c>
      <c r="G2" s="8" t="s">
        <v>6</v>
      </c>
      <c r="H2" s="8" t="s">
        <v>7</v>
      </c>
      <c r="I2" s="10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>
        <v>1</v>
      </c>
      <c r="B3" t="s">
        <v>9</v>
      </c>
      <c r="C3" s="3">
        <v>4500</v>
      </c>
      <c r="D3" s="3">
        <v>5040</v>
      </c>
      <c r="E3" s="3">
        <v>5696</v>
      </c>
      <c r="F3" s="4">
        <f>SUM(C3:E3)</f>
        <v>15236</v>
      </c>
      <c r="G3" s="4">
        <f>MAX(C3:E3)</f>
        <v>5696</v>
      </c>
      <c r="H3" s="4">
        <f>MIN(C3:E3)</f>
        <v>4500</v>
      </c>
      <c r="I3" s="5">
        <f>AVERAGE(C3:E3)</f>
        <v>5078.666666666667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2">
        <v>2</v>
      </c>
      <c r="B4" t="s">
        <v>10</v>
      </c>
      <c r="C4" s="3">
        <v>6250</v>
      </c>
      <c r="D4" s="3">
        <v>7000</v>
      </c>
      <c r="E4" s="3">
        <v>7910</v>
      </c>
      <c r="F4" s="4">
        <f t="shared" ref="F4:F8" si="0">SUM(C4:E4)</f>
        <v>21160</v>
      </c>
      <c r="G4" s="4">
        <f t="shared" ref="G4:G8" si="1">MAX(C4:E4)</f>
        <v>7910</v>
      </c>
      <c r="H4" s="4">
        <f t="shared" ref="H4:H8" si="2">MIN(C4:E4)</f>
        <v>6250</v>
      </c>
      <c r="I4" s="5">
        <f t="shared" ref="I4:I8" si="3">AVERAGE(C4:E4)</f>
        <v>7053.333333333333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2">
        <v>3</v>
      </c>
      <c r="B5" t="s">
        <v>11</v>
      </c>
      <c r="C5" s="3">
        <v>3300</v>
      </c>
      <c r="D5" s="3">
        <v>3696</v>
      </c>
      <c r="E5" s="3">
        <v>4176</v>
      </c>
      <c r="F5" s="4">
        <f t="shared" si="0"/>
        <v>11172</v>
      </c>
      <c r="G5" s="4">
        <f t="shared" si="1"/>
        <v>4176</v>
      </c>
      <c r="H5" s="4">
        <f t="shared" si="2"/>
        <v>3300</v>
      </c>
      <c r="I5" s="5">
        <f t="shared" si="3"/>
        <v>3724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2">
        <v>4</v>
      </c>
      <c r="B6" t="s">
        <v>12</v>
      </c>
      <c r="C6" s="3">
        <v>8000</v>
      </c>
      <c r="D6" s="3">
        <v>8690</v>
      </c>
      <c r="E6" s="3">
        <v>10125</v>
      </c>
      <c r="F6" s="4">
        <f t="shared" si="0"/>
        <v>26815</v>
      </c>
      <c r="G6" s="4">
        <f t="shared" si="1"/>
        <v>10125</v>
      </c>
      <c r="H6" s="4">
        <f t="shared" si="2"/>
        <v>8000</v>
      </c>
      <c r="I6" s="5">
        <f t="shared" si="3"/>
        <v>8938.3333333333339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2">
        <v>5</v>
      </c>
      <c r="B7" t="s">
        <v>13</v>
      </c>
      <c r="C7" s="3">
        <v>4557</v>
      </c>
      <c r="D7" s="3">
        <v>5104</v>
      </c>
      <c r="E7" s="3">
        <v>5676</v>
      </c>
      <c r="F7" s="4">
        <f t="shared" si="0"/>
        <v>15337</v>
      </c>
      <c r="G7" s="4">
        <f t="shared" si="1"/>
        <v>5676</v>
      </c>
      <c r="H7" s="4">
        <f t="shared" si="2"/>
        <v>4557</v>
      </c>
      <c r="I7" s="5">
        <f t="shared" si="3"/>
        <v>5112.333333333333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5.75" thickBot="1" x14ac:dyDescent="0.3">
      <c r="A8" s="2">
        <v>6</v>
      </c>
      <c r="B8" t="s">
        <v>14</v>
      </c>
      <c r="C8" s="3">
        <v>3260</v>
      </c>
      <c r="D8" s="3">
        <v>3640</v>
      </c>
      <c r="E8" s="3">
        <v>4113</v>
      </c>
      <c r="F8" s="4">
        <f t="shared" si="0"/>
        <v>11013</v>
      </c>
      <c r="G8" s="4">
        <f t="shared" si="1"/>
        <v>4113</v>
      </c>
      <c r="H8" s="4">
        <f t="shared" si="2"/>
        <v>3260</v>
      </c>
      <c r="I8" s="5">
        <f t="shared" si="3"/>
        <v>3671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5.75" thickBot="1" x14ac:dyDescent="0.3">
      <c r="A9" s="15" t="s">
        <v>15</v>
      </c>
      <c r="B9" s="16" t="s">
        <v>16</v>
      </c>
      <c r="C9" s="17">
        <f>SUM(C3:C8)</f>
        <v>29867</v>
      </c>
      <c r="D9" s="17">
        <f t="shared" ref="D9:I9" si="4">SUM(D3:D8)</f>
        <v>33170</v>
      </c>
      <c r="E9" s="17">
        <f t="shared" si="4"/>
        <v>37696</v>
      </c>
      <c r="F9" s="17">
        <f t="shared" si="4"/>
        <v>100733</v>
      </c>
      <c r="G9" s="17">
        <f t="shared" si="4"/>
        <v>37696</v>
      </c>
      <c r="H9" s="17">
        <f t="shared" si="4"/>
        <v>29867</v>
      </c>
      <c r="I9" s="18">
        <f t="shared" si="4"/>
        <v>33577.666666666672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B10" s="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1" t="s">
        <v>1</v>
      </c>
      <c r="B11" s="12" t="s">
        <v>2</v>
      </c>
      <c r="C11" s="12" t="s">
        <v>18</v>
      </c>
      <c r="D11" s="12" t="s">
        <v>19</v>
      </c>
      <c r="E11" s="12" t="s">
        <v>20</v>
      </c>
      <c r="F11" s="12" t="s">
        <v>21</v>
      </c>
      <c r="G11" s="12" t="s">
        <v>6</v>
      </c>
      <c r="H11" s="12" t="s">
        <v>7</v>
      </c>
      <c r="I11" s="14" t="s">
        <v>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6">
        <v>1</v>
      </c>
      <c r="B12" t="s">
        <v>9</v>
      </c>
      <c r="C12" s="3">
        <v>6265</v>
      </c>
      <c r="D12" s="3">
        <v>6954</v>
      </c>
      <c r="E12" s="3">
        <v>7858</v>
      </c>
      <c r="F12" s="4">
        <f t="shared" ref="F12:F17" si="5">SUM(C12:E12)</f>
        <v>21077</v>
      </c>
      <c r="G12" s="4">
        <f t="shared" ref="G12:G17" si="6">MAX(C12:E12)</f>
        <v>7858</v>
      </c>
      <c r="H12" s="4">
        <f t="shared" ref="H12:H17" si="7">MIN(C12:E12)</f>
        <v>6265</v>
      </c>
      <c r="I12" s="21">
        <f t="shared" ref="I12:I17" si="8">AVERAGE(C12:E12)</f>
        <v>7025.666666666667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6">
        <v>2</v>
      </c>
      <c r="B13" t="s">
        <v>10</v>
      </c>
      <c r="C13" s="3">
        <v>8701</v>
      </c>
      <c r="D13" s="3">
        <v>9658</v>
      </c>
      <c r="E13" s="3">
        <v>10197</v>
      </c>
      <c r="F13" s="4">
        <f>SUM(C13:E13)</f>
        <v>28556</v>
      </c>
      <c r="G13" s="4">
        <f t="shared" si="6"/>
        <v>10197</v>
      </c>
      <c r="H13" s="4">
        <f t="shared" si="7"/>
        <v>8701</v>
      </c>
      <c r="I13" s="21">
        <f t="shared" si="8"/>
        <v>9518.6666666666661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6">
        <v>3</v>
      </c>
      <c r="B14" t="s">
        <v>11</v>
      </c>
      <c r="C14" s="3">
        <v>4569</v>
      </c>
      <c r="D14" s="3">
        <v>5099</v>
      </c>
      <c r="E14" s="3">
        <v>5769</v>
      </c>
      <c r="F14" s="4">
        <f t="shared" si="5"/>
        <v>15437</v>
      </c>
      <c r="G14" s="4">
        <f t="shared" si="6"/>
        <v>5769</v>
      </c>
      <c r="H14" s="4">
        <f t="shared" si="7"/>
        <v>4569</v>
      </c>
      <c r="I14" s="21">
        <f t="shared" si="8"/>
        <v>5145.666666666667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6">
        <v>4</v>
      </c>
      <c r="B15" t="s">
        <v>12</v>
      </c>
      <c r="C15" s="3">
        <v>12341</v>
      </c>
      <c r="D15" s="3">
        <v>12365</v>
      </c>
      <c r="E15" s="3">
        <v>13969</v>
      </c>
      <c r="F15" s="4">
        <f t="shared" si="5"/>
        <v>38675</v>
      </c>
      <c r="G15" s="4">
        <f t="shared" si="6"/>
        <v>13969</v>
      </c>
      <c r="H15" s="4">
        <f t="shared" si="7"/>
        <v>12341</v>
      </c>
      <c r="I15" s="21">
        <f t="shared" si="8"/>
        <v>12891.666666666666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6">
        <v>5</v>
      </c>
      <c r="B16" t="s">
        <v>13</v>
      </c>
      <c r="C16" s="3">
        <v>6344</v>
      </c>
      <c r="D16" s="3">
        <v>7042</v>
      </c>
      <c r="E16" s="3">
        <v>7957</v>
      </c>
      <c r="F16" s="4">
        <f t="shared" si="5"/>
        <v>21343</v>
      </c>
      <c r="G16" s="4">
        <f t="shared" si="6"/>
        <v>7957</v>
      </c>
      <c r="H16" s="4">
        <f t="shared" si="7"/>
        <v>6344</v>
      </c>
      <c r="I16" s="21">
        <f t="shared" si="8"/>
        <v>7114.333333333333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ht="15.75" thickBot="1" x14ac:dyDescent="0.3">
      <c r="A17" s="6">
        <v>6</v>
      </c>
      <c r="B17" t="s">
        <v>14</v>
      </c>
      <c r="C17" s="3">
        <v>4525</v>
      </c>
      <c r="D17" s="3">
        <v>5022</v>
      </c>
      <c r="E17" s="3">
        <v>5671</v>
      </c>
      <c r="F17" s="4">
        <f t="shared" si="5"/>
        <v>15218</v>
      </c>
      <c r="G17" s="4">
        <f t="shared" si="6"/>
        <v>5671</v>
      </c>
      <c r="H17" s="4">
        <f t="shared" si="7"/>
        <v>4525</v>
      </c>
      <c r="I17" s="21">
        <f t="shared" si="8"/>
        <v>5072.666666666667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ht="15.75" thickBot="1" x14ac:dyDescent="0.3">
      <c r="A18" s="19" t="s">
        <v>15</v>
      </c>
      <c r="B18" s="20"/>
      <c r="C18" s="22">
        <f>SUM(C12:C17)</f>
        <v>42745</v>
      </c>
      <c r="D18" s="22">
        <f t="shared" ref="D18:I18" si="9">SUM(D12:D17)</f>
        <v>46140</v>
      </c>
      <c r="E18" s="22">
        <f t="shared" si="9"/>
        <v>51421</v>
      </c>
      <c r="F18" s="22">
        <f t="shared" si="9"/>
        <v>140306</v>
      </c>
      <c r="G18" s="22">
        <f t="shared" si="9"/>
        <v>51421</v>
      </c>
      <c r="H18" s="22">
        <f t="shared" si="9"/>
        <v>42745</v>
      </c>
      <c r="I18" s="22">
        <f t="shared" si="9"/>
        <v>46768.666666666664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15.75" thickBot="1" x14ac:dyDescent="0.3"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ht="15.75" thickBot="1" x14ac:dyDescent="0.3">
      <c r="A20" s="23" t="s">
        <v>22</v>
      </c>
      <c r="B20" s="24">
        <f>SUM(F9+F18)</f>
        <v>241039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9:57" x14ac:dyDescent="0.25"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9:57" x14ac:dyDescent="0.25"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9:57" x14ac:dyDescent="0.25"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9:57" x14ac:dyDescent="0.25"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9:57" x14ac:dyDescent="0.25"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9:57" x14ac:dyDescent="0.25"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9:57" x14ac:dyDescent="0.25"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9:57" x14ac:dyDescent="0.25"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9:57" x14ac:dyDescent="0.25"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9:57" x14ac:dyDescent="0.25"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9:57" x14ac:dyDescent="0.25"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9:57" x14ac:dyDescent="0.25"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9:57" x14ac:dyDescent="0.25"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9:57" x14ac:dyDescent="0.25"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9:57" x14ac:dyDescent="0.25"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9:57" x14ac:dyDescent="0.25"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9:57" x14ac:dyDescent="0.25"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9:57" x14ac:dyDescent="0.25"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9:57" x14ac:dyDescent="0.25"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9:57" x14ac:dyDescent="0.25"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9:57" x14ac:dyDescent="0.25"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9:57" x14ac:dyDescent="0.25"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9:57" x14ac:dyDescent="0.25"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9:57" x14ac:dyDescent="0.25"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9:57" x14ac:dyDescent="0.25"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9:57" x14ac:dyDescent="0.25"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9:57" x14ac:dyDescent="0.25"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9:57" x14ac:dyDescent="0.25"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9:57" x14ac:dyDescent="0.25"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9:57" x14ac:dyDescent="0.25"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9:57" x14ac:dyDescent="0.25"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9:57" x14ac:dyDescent="0.25"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9:57" x14ac:dyDescent="0.25"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9:57" x14ac:dyDescent="0.25"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9:57" x14ac:dyDescent="0.25"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9:57" x14ac:dyDescent="0.25"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9:57" x14ac:dyDescent="0.25"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9:57" x14ac:dyDescent="0.25"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9:57" x14ac:dyDescent="0.25"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9:57" x14ac:dyDescent="0.25"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9:57" x14ac:dyDescent="0.25"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9:57" x14ac:dyDescent="0.25"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9:57" x14ac:dyDescent="0.25"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9:57" x14ac:dyDescent="0.25"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9:57" x14ac:dyDescent="0.25"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9:57" x14ac:dyDescent="0.25"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9:57" x14ac:dyDescent="0.25"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9:57" x14ac:dyDescent="0.25"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9:57" x14ac:dyDescent="0.25"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9:57" x14ac:dyDescent="0.25"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9:57" x14ac:dyDescent="0.25"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9:57" x14ac:dyDescent="0.25"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9:57" x14ac:dyDescent="0.25"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9:57" x14ac:dyDescent="0.25"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9:57" x14ac:dyDescent="0.25"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9:57" x14ac:dyDescent="0.25"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9:57" x14ac:dyDescent="0.25"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9:57" x14ac:dyDescent="0.25"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9:57" x14ac:dyDescent="0.25"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9:57" x14ac:dyDescent="0.25"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9:57" x14ac:dyDescent="0.25"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9:57" x14ac:dyDescent="0.25"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9:57" x14ac:dyDescent="0.25"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9:57" x14ac:dyDescent="0.25"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9:57" x14ac:dyDescent="0.25"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9:57" x14ac:dyDescent="0.25"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9:57" x14ac:dyDescent="0.25"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9:57" x14ac:dyDescent="0.25"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9:57" x14ac:dyDescent="0.25"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9:57" x14ac:dyDescent="0.25"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9:57" x14ac:dyDescent="0.25"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9:57" x14ac:dyDescent="0.25"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2C99-AC69-4FFF-A472-026CD71DDF81}">
  <dimension ref="A1:G18"/>
  <sheetViews>
    <sheetView workbookViewId="0">
      <selection activeCell="I10" sqref="I10"/>
    </sheetView>
  </sheetViews>
  <sheetFormatPr defaultRowHeight="15" x14ac:dyDescent="0.25"/>
  <cols>
    <col min="1" max="1" width="17.28515625" bestFit="1" customWidth="1"/>
    <col min="2" max="2" width="10.7109375" customWidth="1"/>
    <col min="3" max="3" width="12.7109375" customWidth="1"/>
    <col min="4" max="7" width="10.5703125" bestFit="1" customWidth="1"/>
  </cols>
  <sheetData>
    <row r="1" spans="1:7" x14ac:dyDescent="0.25">
      <c r="A1" s="30" t="s">
        <v>41</v>
      </c>
      <c r="B1" s="30"/>
      <c r="C1" s="30"/>
      <c r="D1" s="30"/>
      <c r="E1" s="30"/>
      <c r="F1" s="30"/>
      <c r="G1" s="30"/>
    </row>
    <row r="3" spans="1:7" x14ac:dyDescent="0.25">
      <c r="A3" t="s">
        <v>43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</row>
    <row r="4" spans="1:7" x14ac:dyDescent="0.25">
      <c r="A4" t="s">
        <v>29</v>
      </c>
      <c r="B4">
        <v>500</v>
      </c>
      <c r="C4">
        <v>750</v>
      </c>
      <c r="D4">
        <v>800</v>
      </c>
      <c r="E4">
        <v>700</v>
      </c>
      <c r="F4">
        <v>654</v>
      </c>
      <c r="G4">
        <v>700</v>
      </c>
    </row>
    <row r="6" spans="1:7" x14ac:dyDescent="0.25">
      <c r="A6" t="s">
        <v>30</v>
      </c>
      <c r="B6" t="s">
        <v>23</v>
      </c>
      <c r="C6" t="s">
        <v>24</v>
      </c>
      <c r="D6" t="s">
        <v>42</v>
      </c>
      <c r="E6" t="s">
        <v>26</v>
      </c>
      <c r="F6" t="s">
        <v>27</v>
      </c>
      <c r="G6" t="s">
        <v>28</v>
      </c>
    </row>
    <row r="7" spans="1:7" x14ac:dyDescent="0.25">
      <c r="A7" t="s">
        <v>31</v>
      </c>
      <c r="B7" s="3">
        <v>10</v>
      </c>
      <c r="C7" s="3">
        <v>15</v>
      </c>
      <c r="D7" s="3">
        <v>15</v>
      </c>
      <c r="E7" s="3">
        <v>12</v>
      </c>
      <c r="F7" s="3">
        <v>12</v>
      </c>
      <c r="G7" s="3">
        <v>11</v>
      </c>
    </row>
    <row r="8" spans="1:7" x14ac:dyDescent="0.25">
      <c r="A8" t="s">
        <v>32</v>
      </c>
      <c r="B8" s="3">
        <v>50</v>
      </c>
      <c r="C8" s="3">
        <v>60</v>
      </c>
      <c r="D8" s="3">
        <v>54</v>
      </c>
      <c r="E8" s="3">
        <v>55</v>
      </c>
      <c r="F8" s="3">
        <v>54</v>
      </c>
      <c r="G8" s="3">
        <v>56</v>
      </c>
    </row>
    <row r="9" spans="1:7" x14ac:dyDescent="0.25">
      <c r="A9" t="s">
        <v>33</v>
      </c>
      <c r="B9" s="3">
        <v>300</v>
      </c>
      <c r="C9" s="3">
        <v>250</v>
      </c>
      <c r="D9" s="3">
        <v>300</v>
      </c>
      <c r="E9" s="3">
        <v>300</v>
      </c>
      <c r="F9" s="3">
        <v>200</v>
      </c>
      <c r="G9" s="3">
        <v>200</v>
      </c>
    </row>
    <row r="10" spans="1:7" x14ac:dyDescent="0.25">
      <c r="A10" t="s">
        <v>34</v>
      </c>
      <c r="B10" s="3">
        <v>40</v>
      </c>
      <c r="C10" s="3">
        <v>40</v>
      </c>
      <c r="D10" s="3">
        <v>40</v>
      </c>
      <c r="E10" s="3">
        <v>40</v>
      </c>
      <c r="F10" s="3">
        <v>40</v>
      </c>
      <c r="G10" s="3">
        <v>40</v>
      </c>
    </row>
    <row r="11" spans="1:7" x14ac:dyDescent="0.25">
      <c r="A11" t="s">
        <v>35</v>
      </c>
      <c r="B11" s="3">
        <v>10</v>
      </c>
      <c r="C11" s="3">
        <v>15</v>
      </c>
      <c r="D11" s="3">
        <v>14</v>
      </c>
      <c r="E11" s="3">
        <v>15</v>
      </c>
      <c r="F11" s="3">
        <v>20</v>
      </c>
      <c r="G11" s="3">
        <v>31</v>
      </c>
    </row>
    <row r="12" spans="1:7" x14ac:dyDescent="0.25">
      <c r="A12" t="s">
        <v>36</v>
      </c>
      <c r="B12" s="3">
        <v>120</v>
      </c>
      <c r="C12" s="3">
        <v>150</v>
      </c>
      <c r="D12" s="3">
        <v>130</v>
      </c>
      <c r="E12" s="3">
        <v>200</v>
      </c>
      <c r="F12" s="3">
        <v>150</v>
      </c>
      <c r="G12" s="3">
        <v>190</v>
      </c>
    </row>
    <row r="13" spans="1:7" x14ac:dyDescent="0.25">
      <c r="A13" t="s">
        <v>37</v>
      </c>
      <c r="B13" s="3">
        <v>50</v>
      </c>
      <c r="C13" s="3">
        <v>60</v>
      </c>
      <c r="D13" s="3">
        <v>65</v>
      </c>
      <c r="E13" s="3">
        <v>70</v>
      </c>
      <c r="F13" s="3">
        <v>65</v>
      </c>
      <c r="G13" s="3">
        <v>85</v>
      </c>
    </row>
    <row r="14" spans="1:7" x14ac:dyDescent="0.25">
      <c r="A14" t="s">
        <v>38</v>
      </c>
      <c r="B14" s="3">
        <v>145</v>
      </c>
      <c r="C14" s="3">
        <v>145</v>
      </c>
      <c r="D14" s="3">
        <v>145</v>
      </c>
      <c r="E14" s="3">
        <v>145</v>
      </c>
      <c r="F14" s="3">
        <v>100</v>
      </c>
      <c r="G14" s="3">
        <v>145</v>
      </c>
    </row>
    <row r="16" spans="1:7" x14ac:dyDescent="0.25">
      <c r="A16" s="25" t="s">
        <v>39</v>
      </c>
      <c r="B16" s="26">
        <f t="shared" ref="B16:G16" si="0">SUM(B7:B14)</f>
        <v>725</v>
      </c>
      <c r="C16" s="26">
        <f t="shared" si="0"/>
        <v>735</v>
      </c>
      <c r="D16" s="26">
        <f t="shared" si="0"/>
        <v>763</v>
      </c>
      <c r="E16" s="26">
        <f t="shared" si="0"/>
        <v>837</v>
      </c>
      <c r="F16" s="26">
        <f t="shared" si="0"/>
        <v>641</v>
      </c>
      <c r="G16" s="26">
        <f t="shared" si="0"/>
        <v>758</v>
      </c>
    </row>
    <row r="18" spans="1:7" x14ac:dyDescent="0.25">
      <c r="A18" s="25" t="s">
        <v>40</v>
      </c>
      <c r="B18" s="26">
        <f t="shared" ref="B18:G18" si="1">B4-B16</f>
        <v>-225</v>
      </c>
      <c r="C18" s="26">
        <f t="shared" si="1"/>
        <v>15</v>
      </c>
      <c r="D18" s="26">
        <f t="shared" si="1"/>
        <v>37</v>
      </c>
      <c r="E18" s="26">
        <f t="shared" si="1"/>
        <v>-137</v>
      </c>
      <c r="F18" s="26">
        <f t="shared" si="1"/>
        <v>13</v>
      </c>
      <c r="G18" s="26">
        <f t="shared" si="1"/>
        <v>-58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C4AB-8972-448F-8ED4-AEFE2B0F8A0D}">
  <dimension ref="A1:H10"/>
  <sheetViews>
    <sheetView workbookViewId="0">
      <selection activeCell="A2" sqref="A2"/>
    </sheetView>
  </sheetViews>
  <sheetFormatPr defaultRowHeight="15" x14ac:dyDescent="0.25"/>
  <cols>
    <col min="1" max="1" width="5.28515625" customWidth="1"/>
    <col min="2" max="2" width="9.85546875" bestFit="1" customWidth="1"/>
    <col min="3" max="3" width="14.42578125" customWidth="1"/>
    <col min="4" max="4" width="8.140625" bestFit="1" customWidth="1"/>
    <col min="5" max="5" width="13.5703125" customWidth="1"/>
    <col min="6" max="6" width="14.5703125" customWidth="1"/>
    <col min="7" max="7" width="19.85546875" customWidth="1"/>
    <col min="8" max="8" width="16" customWidth="1"/>
  </cols>
  <sheetData>
    <row r="1" spans="1:8" ht="45" customHeight="1" x14ac:dyDescent="0.25">
      <c r="A1" s="36" t="s">
        <v>60</v>
      </c>
      <c r="B1" s="35"/>
      <c r="C1" s="35"/>
      <c r="D1" s="35"/>
      <c r="E1" s="35"/>
      <c r="F1" s="35"/>
      <c r="G1" s="35"/>
      <c r="H1" s="35"/>
    </row>
    <row r="2" spans="1:8" x14ac:dyDescent="0.25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</row>
    <row r="3" spans="1:8" x14ac:dyDescent="0.25">
      <c r="A3" s="6">
        <v>1</v>
      </c>
      <c r="B3" s="6" t="s">
        <v>52</v>
      </c>
      <c r="C3" s="31">
        <v>853</v>
      </c>
      <c r="D3" s="32">
        <v>0.1</v>
      </c>
      <c r="E3" s="32">
        <v>0.09</v>
      </c>
      <c r="F3" s="37">
        <f>PRODUCT(D3,C3)</f>
        <v>85.300000000000011</v>
      </c>
      <c r="G3" s="38">
        <f>PRODUCT(C3,E3)</f>
        <v>76.77</v>
      </c>
      <c r="H3" s="33">
        <f>C3-F3+G3</f>
        <v>844.47</v>
      </c>
    </row>
    <row r="4" spans="1:8" x14ac:dyDescent="0.25">
      <c r="A4" s="6">
        <v>2</v>
      </c>
      <c r="B4" s="6" t="s">
        <v>53</v>
      </c>
      <c r="C4" s="31">
        <v>951</v>
      </c>
      <c r="D4" s="32">
        <v>9.9900000000000003E-2</v>
      </c>
      <c r="E4" s="32">
        <v>0.08</v>
      </c>
      <c r="F4" s="37">
        <f t="shared" ref="F4:F10" si="0">PRODUCT(D4,C4)</f>
        <v>95.004900000000006</v>
      </c>
      <c r="G4" s="38">
        <f t="shared" ref="G4:G10" si="1">PRODUCT(C4,E4)</f>
        <v>76.08</v>
      </c>
      <c r="H4" s="33">
        <f t="shared" ref="H4:H10" si="2">C4-F4+G4</f>
        <v>932.07510000000002</v>
      </c>
    </row>
    <row r="5" spans="1:8" x14ac:dyDescent="0.25">
      <c r="A5" s="6">
        <v>3</v>
      </c>
      <c r="B5" s="6" t="s">
        <v>54</v>
      </c>
      <c r="C5" s="31">
        <v>456</v>
      </c>
      <c r="D5" s="32">
        <v>8.6400000000000005E-2</v>
      </c>
      <c r="E5" s="32">
        <v>0.06</v>
      </c>
      <c r="F5" s="37">
        <f t="shared" si="0"/>
        <v>39.398400000000002</v>
      </c>
      <c r="G5" s="38">
        <f t="shared" si="1"/>
        <v>27.36</v>
      </c>
      <c r="H5" s="33">
        <f t="shared" si="2"/>
        <v>443.96160000000003</v>
      </c>
    </row>
    <row r="6" spans="1:8" x14ac:dyDescent="0.25">
      <c r="A6" s="6">
        <v>4</v>
      </c>
      <c r="B6" s="6" t="s">
        <v>55</v>
      </c>
      <c r="C6" s="31">
        <v>500</v>
      </c>
      <c r="D6" s="32">
        <v>8.5000000000000006E-2</v>
      </c>
      <c r="E6" s="32">
        <v>0.06</v>
      </c>
      <c r="F6" s="37">
        <f t="shared" si="0"/>
        <v>42.5</v>
      </c>
      <c r="G6" s="38">
        <f t="shared" si="1"/>
        <v>30</v>
      </c>
      <c r="H6" s="33">
        <f t="shared" si="2"/>
        <v>487.5</v>
      </c>
    </row>
    <row r="7" spans="1:8" x14ac:dyDescent="0.25">
      <c r="A7" s="6">
        <v>5</v>
      </c>
      <c r="B7" s="6" t="s">
        <v>56</v>
      </c>
      <c r="C7" s="31">
        <v>850</v>
      </c>
      <c r="D7" s="32">
        <v>8.9899999999999994E-2</v>
      </c>
      <c r="E7" s="32">
        <v>7.0000000000000007E-2</v>
      </c>
      <c r="F7" s="37">
        <f t="shared" si="0"/>
        <v>76.414999999999992</v>
      </c>
      <c r="G7" s="38">
        <f t="shared" si="1"/>
        <v>59.500000000000007</v>
      </c>
      <c r="H7" s="33">
        <f t="shared" si="2"/>
        <v>833.08500000000004</v>
      </c>
    </row>
    <row r="8" spans="1:8" x14ac:dyDescent="0.25">
      <c r="A8" s="6">
        <v>6</v>
      </c>
      <c r="B8" s="6" t="s">
        <v>57</v>
      </c>
      <c r="C8" s="31">
        <v>459</v>
      </c>
      <c r="D8" s="32">
        <v>6.25E-2</v>
      </c>
      <c r="E8" s="32">
        <v>0.05</v>
      </c>
      <c r="F8" s="37">
        <f t="shared" si="0"/>
        <v>28.6875</v>
      </c>
      <c r="G8" s="38">
        <f t="shared" si="1"/>
        <v>22.950000000000003</v>
      </c>
      <c r="H8" s="33">
        <f t="shared" si="2"/>
        <v>453.26249999999999</v>
      </c>
    </row>
    <row r="9" spans="1:8" x14ac:dyDescent="0.25">
      <c r="A9" s="6">
        <v>7</v>
      </c>
      <c r="B9" s="6" t="s">
        <v>58</v>
      </c>
      <c r="C9" s="31">
        <v>478</v>
      </c>
      <c r="D9" s="32">
        <v>7.1199999999999999E-2</v>
      </c>
      <c r="E9" s="32">
        <v>0.05</v>
      </c>
      <c r="F9" s="37">
        <f t="shared" si="0"/>
        <v>34.0336</v>
      </c>
      <c r="G9" s="38">
        <f t="shared" si="1"/>
        <v>23.900000000000002</v>
      </c>
      <c r="H9" s="33">
        <f t="shared" si="2"/>
        <v>467.8664</v>
      </c>
    </row>
    <row r="10" spans="1:8" x14ac:dyDescent="0.25">
      <c r="A10" s="6">
        <v>8</v>
      </c>
      <c r="B10" s="6" t="s">
        <v>59</v>
      </c>
      <c r="C10" s="31">
        <v>658</v>
      </c>
      <c r="D10" s="32">
        <v>5.9900000000000002E-2</v>
      </c>
      <c r="E10" s="32">
        <v>0.04</v>
      </c>
      <c r="F10" s="37">
        <f t="shared" si="0"/>
        <v>39.414200000000001</v>
      </c>
      <c r="G10" s="38">
        <f t="shared" si="1"/>
        <v>26.32</v>
      </c>
      <c r="H10" s="33">
        <f t="shared" si="2"/>
        <v>644.9058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F8B9-9FCA-4A74-916D-22F4F9C4B4B7}">
  <dimension ref="A1:E11"/>
  <sheetViews>
    <sheetView workbookViewId="0">
      <selection activeCell="K8" sqref="K8"/>
    </sheetView>
  </sheetViews>
  <sheetFormatPr defaultRowHeight="15" x14ac:dyDescent="0.25"/>
  <cols>
    <col min="1" max="1" width="13.7109375" bestFit="1" customWidth="1"/>
    <col min="2" max="2" width="13.5703125" customWidth="1"/>
    <col min="3" max="3" width="15.7109375" customWidth="1"/>
    <col min="4" max="4" width="13.28515625" bestFit="1" customWidth="1"/>
    <col min="5" max="5" width="11.28515625" customWidth="1"/>
  </cols>
  <sheetData>
    <row r="1" spans="1:5" x14ac:dyDescent="0.25">
      <c r="A1" s="44" t="s">
        <v>74</v>
      </c>
      <c r="B1" s="45"/>
      <c r="C1" s="45"/>
      <c r="D1" s="45"/>
      <c r="E1" s="46"/>
    </row>
    <row r="2" spans="1:5" x14ac:dyDescent="0.25">
      <c r="A2" s="6" t="s">
        <v>62</v>
      </c>
      <c r="B2" s="6" t="s">
        <v>63</v>
      </c>
      <c r="C2" s="6" t="s">
        <v>64</v>
      </c>
      <c r="D2" s="6" t="s">
        <v>65</v>
      </c>
      <c r="E2" s="6" t="s">
        <v>66</v>
      </c>
    </row>
    <row r="3" spans="1:5" x14ac:dyDescent="0.25">
      <c r="A3" s="6" t="s">
        <v>67</v>
      </c>
      <c r="B3" s="6">
        <v>500</v>
      </c>
      <c r="C3" s="31">
        <v>0.15</v>
      </c>
      <c r="D3" s="34">
        <f>B3*C3</f>
        <v>75</v>
      </c>
      <c r="E3" s="39">
        <f>D3/$B$11</f>
        <v>25.510204081632654</v>
      </c>
    </row>
    <row r="4" spans="1:5" x14ac:dyDescent="0.25">
      <c r="A4" s="6" t="s">
        <v>68</v>
      </c>
      <c r="B4" s="6">
        <v>750</v>
      </c>
      <c r="C4" s="31">
        <v>0.15</v>
      </c>
      <c r="D4" s="34">
        <f t="shared" ref="D4:D9" si="0">B4*C4</f>
        <v>112.5</v>
      </c>
      <c r="E4" s="39">
        <f t="shared" ref="E4:E9" si="1">D4/$B$11</f>
        <v>38.265306122448983</v>
      </c>
    </row>
    <row r="5" spans="1:5" x14ac:dyDescent="0.25">
      <c r="A5" s="6" t="s">
        <v>69</v>
      </c>
      <c r="B5" s="6">
        <v>250</v>
      </c>
      <c r="C5" s="31">
        <v>10</v>
      </c>
      <c r="D5" s="34">
        <f t="shared" si="0"/>
        <v>2500</v>
      </c>
      <c r="E5" s="39">
        <f t="shared" si="1"/>
        <v>850.34013605442181</v>
      </c>
    </row>
    <row r="6" spans="1:5" x14ac:dyDescent="0.25">
      <c r="A6" s="6" t="s">
        <v>70</v>
      </c>
      <c r="B6" s="6">
        <v>310</v>
      </c>
      <c r="C6" s="31">
        <v>0.5</v>
      </c>
      <c r="D6" s="34">
        <f t="shared" si="0"/>
        <v>155</v>
      </c>
      <c r="E6" s="39">
        <f t="shared" si="1"/>
        <v>52.721088435374149</v>
      </c>
    </row>
    <row r="7" spans="1:5" x14ac:dyDescent="0.25">
      <c r="A7" s="6" t="s">
        <v>71</v>
      </c>
      <c r="B7" s="6">
        <v>500</v>
      </c>
      <c r="C7" s="31">
        <v>0.1</v>
      </c>
      <c r="D7" s="34">
        <f t="shared" si="0"/>
        <v>50</v>
      </c>
      <c r="E7" s="39">
        <f t="shared" si="1"/>
        <v>17.006802721088437</v>
      </c>
    </row>
    <row r="8" spans="1:5" x14ac:dyDescent="0.25">
      <c r="A8" s="6" t="s">
        <v>72</v>
      </c>
      <c r="B8" s="6">
        <v>1500</v>
      </c>
      <c r="C8" s="31">
        <v>2.5</v>
      </c>
      <c r="D8" s="34">
        <f t="shared" si="0"/>
        <v>3750</v>
      </c>
      <c r="E8" s="39">
        <f t="shared" si="1"/>
        <v>1275.5102040816328</v>
      </c>
    </row>
    <row r="9" spans="1:5" x14ac:dyDescent="0.25">
      <c r="A9" s="6" t="s">
        <v>73</v>
      </c>
      <c r="B9" s="6">
        <v>190</v>
      </c>
      <c r="C9" s="31">
        <v>6</v>
      </c>
      <c r="D9" s="34">
        <f t="shared" si="0"/>
        <v>1140</v>
      </c>
      <c r="E9" s="39">
        <f t="shared" si="1"/>
        <v>387.75510204081633</v>
      </c>
    </row>
    <row r="11" spans="1:5" x14ac:dyDescent="0.25">
      <c r="A11" s="40" t="s">
        <v>61</v>
      </c>
      <c r="B11" s="3">
        <v>2.94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D16B-6651-4C79-9A76-D031FC198919}">
  <dimension ref="A1:F17"/>
  <sheetViews>
    <sheetView workbookViewId="0">
      <selection activeCell="I8" sqref="I8"/>
    </sheetView>
  </sheetViews>
  <sheetFormatPr defaultRowHeight="15" x14ac:dyDescent="0.25"/>
  <cols>
    <col min="1" max="1" width="19.28515625" customWidth="1"/>
    <col min="2" max="5" width="14" customWidth="1"/>
    <col min="6" max="6" width="14.28515625" customWidth="1"/>
  </cols>
  <sheetData>
    <row r="1" spans="1:6" ht="26.25" x14ac:dyDescent="0.4">
      <c r="A1" s="74" t="s">
        <v>75</v>
      </c>
      <c r="B1" s="74"/>
      <c r="C1" s="74"/>
      <c r="D1" s="74"/>
      <c r="E1" s="74"/>
      <c r="F1" s="74"/>
    </row>
    <row r="3" spans="1:6" x14ac:dyDescent="0.25">
      <c r="A3" s="66" t="s">
        <v>76</v>
      </c>
      <c r="B3" s="57" t="s">
        <v>77</v>
      </c>
      <c r="C3" s="57" t="s">
        <v>78</v>
      </c>
      <c r="D3" s="57" t="s">
        <v>79</v>
      </c>
      <c r="E3" s="57" t="s">
        <v>80</v>
      </c>
      <c r="F3" s="58" t="s">
        <v>81</v>
      </c>
    </row>
    <row r="4" spans="1:6" x14ac:dyDescent="0.25">
      <c r="A4" s="67" t="s">
        <v>92</v>
      </c>
      <c r="B4" s="60">
        <v>140000</v>
      </c>
      <c r="C4" s="60">
        <v>185000</v>
      </c>
      <c r="D4" s="60">
        <v>204100</v>
      </c>
      <c r="E4" s="60">
        <v>240000</v>
      </c>
      <c r="F4" s="61">
        <f>SUM(B4:E4)</f>
        <v>769100</v>
      </c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56" t="s">
        <v>82</v>
      </c>
      <c r="B6" s="57" t="s">
        <v>77</v>
      </c>
      <c r="C6" s="57" t="s">
        <v>78</v>
      </c>
      <c r="D6" s="57" t="s">
        <v>79</v>
      </c>
      <c r="E6" s="57" t="s">
        <v>80</v>
      </c>
      <c r="F6" s="58" t="s">
        <v>81</v>
      </c>
    </row>
    <row r="7" spans="1:6" x14ac:dyDescent="0.25">
      <c r="A7" s="54" t="s">
        <v>83</v>
      </c>
      <c r="B7" s="49">
        <v>20000</v>
      </c>
      <c r="C7" s="49">
        <v>26000</v>
      </c>
      <c r="D7" s="49">
        <v>33800</v>
      </c>
      <c r="E7" s="49">
        <v>43940</v>
      </c>
      <c r="F7" s="55">
        <f>SUM(B7:E7)</f>
        <v>123740</v>
      </c>
    </row>
    <row r="8" spans="1:6" x14ac:dyDescent="0.25">
      <c r="A8" s="54" t="s">
        <v>84</v>
      </c>
      <c r="B8" s="49">
        <v>20000</v>
      </c>
      <c r="C8" s="49">
        <v>15600</v>
      </c>
      <c r="D8" s="49">
        <v>20280</v>
      </c>
      <c r="E8" s="49">
        <v>26364</v>
      </c>
      <c r="F8" s="55">
        <f t="shared" ref="F8:F12" si="0">SUM(B8:E8)</f>
        <v>82244</v>
      </c>
    </row>
    <row r="9" spans="1:6" x14ac:dyDescent="0.25">
      <c r="A9" s="54" t="s">
        <v>85</v>
      </c>
      <c r="B9" s="49">
        <v>12000</v>
      </c>
      <c r="C9" s="49">
        <v>20930</v>
      </c>
      <c r="D9" s="49">
        <v>27209</v>
      </c>
      <c r="E9" s="49">
        <v>35371.699999999997</v>
      </c>
      <c r="F9" s="55">
        <f t="shared" si="0"/>
        <v>95510.7</v>
      </c>
    </row>
    <row r="10" spans="1:6" x14ac:dyDescent="0.25">
      <c r="A10" s="54" t="s">
        <v>87</v>
      </c>
      <c r="B10" s="49">
        <v>16100</v>
      </c>
      <c r="C10" s="49">
        <v>28780</v>
      </c>
      <c r="D10" s="49">
        <v>33631</v>
      </c>
      <c r="E10" s="49">
        <v>43720.3</v>
      </c>
      <c r="F10" s="55">
        <f t="shared" si="0"/>
        <v>122231.3</v>
      </c>
    </row>
    <row r="11" spans="1:6" x14ac:dyDescent="0.25">
      <c r="A11" s="54" t="s">
        <v>86</v>
      </c>
      <c r="B11" s="49">
        <v>19900</v>
      </c>
      <c r="C11" s="49">
        <v>39000</v>
      </c>
      <c r="D11" s="49">
        <v>50700</v>
      </c>
      <c r="E11" s="49">
        <v>65910</v>
      </c>
      <c r="F11" s="55">
        <f t="shared" si="0"/>
        <v>175510</v>
      </c>
    </row>
    <row r="12" spans="1:6" x14ac:dyDescent="0.25">
      <c r="A12" s="59" t="s">
        <v>88</v>
      </c>
      <c r="B12" s="60">
        <v>25000</v>
      </c>
      <c r="C12" s="60">
        <v>32500</v>
      </c>
      <c r="D12" s="60">
        <v>42250</v>
      </c>
      <c r="E12" s="60">
        <v>54925</v>
      </c>
      <c r="F12" s="61">
        <f t="shared" si="0"/>
        <v>154675</v>
      </c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6" t="s">
        <v>89</v>
      </c>
      <c r="B14" s="68" t="s">
        <v>94</v>
      </c>
      <c r="C14" s="68" t="s">
        <v>95</v>
      </c>
      <c r="D14" s="68" t="s">
        <v>96</v>
      </c>
      <c r="E14" s="69" t="s">
        <v>97</v>
      </c>
      <c r="F14" s="6"/>
    </row>
    <row r="15" spans="1:6" x14ac:dyDescent="0.25">
      <c r="A15" s="65" t="s">
        <v>90</v>
      </c>
      <c r="B15" s="51">
        <f t="shared" ref="B15:B16" si="1">B4-B14</f>
        <v>27000</v>
      </c>
      <c r="C15" s="51">
        <f>C4-C14</f>
        <v>22190</v>
      </c>
      <c r="D15" s="51">
        <f>D4-D14</f>
        <v>-3770</v>
      </c>
      <c r="E15" s="55">
        <f>E4-E14</f>
        <v>-30231</v>
      </c>
      <c r="F15" s="6"/>
    </row>
    <row r="16" spans="1:6" x14ac:dyDescent="0.25">
      <c r="A16" s="67" t="s">
        <v>93</v>
      </c>
      <c r="B16" s="72">
        <f t="shared" si="1"/>
        <v>-27000</v>
      </c>
      <c r="C16" s="70" t="str">
        <f t="shared" ref="C16:E16" si="2">IF(C15&lt;1000, "Prejuízo Total",IF(C15&lt;=5000, "Lucro Médio", IF( C15&gt;5000,"Lucro Total")))</f>
        <v>Lucro Total</v>
      </c>
      <c r="D16" s="70" t="str">
        <f t="shared" si="2"/>
        <v>Prejuízo Total</v>
      </c>
      <c r="E16" s="71" t="str">
        <f t="shared" si="2"/>
        <v>Prejuízo Total</v>
      </c>
      <c r="F16" s="6"/>
    </row>
    <row r="17" spans="1:6" ht="17.25" customHeight="1" x14ac:dyDescent="0.25">
      <c r="A17" s="52"/>
      <c r="B17" s="52"/>
      <c r="C17" s="73" t="s">
        <v>91</v>
      </c>
      <c r="D17" s="73"/>
      <c r="E17" s="73"/>
      <c r="F17" s="53">
        <f>SUM(F7:F12)</f>
        <v>753911</v>
      </c>
    </row>
  </sheetData>
  <mergeCells count="2">
    <mergeCell ref="A1:F1"/>
    <mergeCell ref="C17:E17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613-8B8E-4E49-A8B0-8A2514324439}">
  <dimension ref="A1:G9"/>
  <sheetViews>
    <sheetView workbookViewId="0">
      <selection activeCell="G14" sqref="G14"/>
    </sheetView>
  </sheetViews>
  <sheetFormatPr defaultRowHeight="15" x14ac:dyDescent="0.25"/>
  <cols>
    <col min="1" max="1" width="19" bestFit="1" customWidth="1"/>
    <col min="2" max="2" width="12.140625" bestFit="1" customWidth="1"/>
    <col min="3" max="3" width="11.42578125" customWidth="1"/>
    <col min="4" max="4" width="14.28515625" customWidth="1"/>
    <col min="6" max="6" width="12.140625" bestFit="1" customWidth="1"/>
  </cols>
  <sheetData>
    <row r="1" spans="1:7" ht="15.75" thickBot="1" x14ac:dyDescent="0.3">
      <c r="A1" s="64" t="s">
        <v>98</v>
      </c>
      <c r="B1" s="82" t="s">
        <v>99</v>
      </c>
      <c r="C1" s="82" t="s">
        <v>100</v>
      </c>
      <c r="D1" s="63" t="s">
        <v>101</v>
      </c>
    </row>
    <row r="2" spans="1:7" ht="15.75" thickBot="1" x14ac:dyDescent="0.3">
      <c r="A2" s="80" t="s">
        <v>102</v>
      </c>
      <c r="B2" s="79">
        <v>900</v>
      </c>
      <c r="C2" s="79">
        <f>IF(B2&lt;1000, SUM($G$2*B2),IF(B2&gt;1000,SUM($G$3*B2)))</f>
        <v>360</v>
      </c>
      <c r="D2" s="81">
        <f>SUM(B2,C2)</f>
        <v>1260</v>
      </c>
      <c r="F2" s="76" t="s">
        <v>111</v>
      </c>
      <c r="G2" s="78">
        <v>0.4</v>
      </c>
    </row>
    <row r="3" spans="1:7" ht="15.75" thickBot="1" x14ac:dyDescent="0.3">
      <c r="A3" s="80" t="s">
        <v>103</v>
      </c>
      <c r="B3" s="79">
        <v>1200</v>
      </c>
      <c r="C3" s="79">
        <f>IF(B3&lt;1000, SUM($G$2*B3),IF(B3&gt;1000,SUM($G$3*B3)))</f>
        <v>360</v>
      </c>
      <c r="D3" s="81">
        <f t="shared" ref="D3:D9" si="0">SUM(B3,C3)</f>
        <v>1560</v>
      </c>
      <c r="F3" s="75" t="s">
        <v>110</v>
      </c>
      <c r="G3" s="77">
        <v>0.3</v>
      </c>
    </row>
    <row r="4" spans="1:7" x14ac:dyDescent="0.25">
      <c r="A4" s="80" t="s">
        <v>104</v>
      </c>
      <c r="B4" s="79">
        <v>1500</v>
      </c>
      <c r="C4" s="79">
        <f t="shared" ref="C3:C9" si="1">IF(B4&lt;1000, SUM($G$2*B4),IF(B4&gt;1000,SUM($G$3*B4)))</f>
        <v>450</v>
      </c>
      <c r="D4" s="81">
        <f t="shared" si="0"/>
        <v>1950</v>
      </c>
    </row>
    <row r="5" spans="1:7" x14ac:dyDescent="0.25">
      <c r="A5" s="80" t="s">
        <v>105</v>
      </c>
      <c r="B5" s="79">
        <v>200</v>
      </c>
      <c r="C5" s="79">
        <f t="shared" si="1"/>
        <v>80</v>
      </c>
      <c r="D5" s="81">
        <f t="shared" si="0"/>
        <v>280</v>
      </c>
    </row>
    <row r="6" spans="1:7" x14ac:dyDescent="0.25">
      <c r="A6" s="80" t="s">
        <v>106</v>
      </c>
      <c r="B6" s="79">
        <v>1400</v>
      </c>
      <c r="C6" s="79">
        <f t="shared" si="1"/>
        <v>420</v>
      </c>
      <c r="D6" s="81">
        <f t="shared" si="0"/>
        <v>1820</v>
      </c>
    </row>
    <row r="7" spans="1:7" x14ac:dyDescent="0.25">
      <c r="A7" s="80" t="s">
        <v>107</v>
      </c>
      <c r="B7" s="79">
        <v>990</v>
      </c>
      <c r="C7" s="79">
        <f t="shared" si="1"/>
        <v>396</v>
      </c>
      <c r="D7" s="81">
        <f t="shared" si="0"/>
        <v>1386</v>
      </c>
    </row>
    <row r="8" spans="1:7" x14ac:dyDescent="0.25">
      <c r="A8" s="80" t="s">
        <v>108</v>
      </c>
      <c r="B8" s="79">
        <v>854</v>
      </c>
      <c r="C8" s="79">
        <f t="shared" si="1"/>
        <v>341.6</v>
      </c>
      <c r="D8" s="81">
        <f t="shared" si="0"/>
        <v>1195.5999999999999</v>
      </c>
    </row>
    <row r="9" spans="1:7" x14ac:dyDescent="0.25">
      <c r="A9" s="62" t="s">
        <v>109</v>
      </c>
      <c r="B9" s="83">
        <v>1100</v>
      </c>
      <c r="C9" s="83">
        <f t="shared" si="1"/>
        <v>330</v>
      </c>
      <c r="D9" s="84">
        <f t="shared" si="0"/>
        <v>1430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1705-A530-4253-8CFF-281C3C74E6C2}">
  <dimension ref="A1:E23"/>
  <sheetViews>
    <sheetView workbookViewId="0">
      <selection activeCell="E27" sqref="E27"/>
    </sheetView>
  </sheetViews>
  <sheetFormatPr defaultRowHeight="15" x14ac:dyDescent="0.25"/>
  <cols>
    <col min="1" max="1" width="10.28515625" customWidth="1"/>
    <col min="2" max="2" width="28" bestFit="1" customWidth="1"/>
    <col min="3" max="3" width="17.7109375" bestFit="1" customWidth="1"/>
    <col min="4" max="4" width="15.140625" bestFit="1" customWidth="1"/>
    <col min="5" max="5" width="10.28515625" customWidth="1"/>
  </cols>
  <sheetData>
    <row r="1" spans="1:5" x14ac:dyDescent="0.25">
      <c r="A1" t="s">
        <v>43</v>
      </c>
      <c r="B1" t="s">
        <v>176</v>
      </c>
      <c r="C1" t="s">
        <v>177</v>
      </c>
      <c r="D1" t="s">
        <v>178</v>
      </c>
      <c r="E1" t="s">
        <v>179</v>
      </c>
    </row>
    <row r="2" spans="1:5" x14ac:dyDescent="0.25">
      <c r="A2" t="s">
        <v>98</v>
      </c>
      <c r="B2" t="s">
        <v>112</v>
      </c>
      <c r="C2" t="s">
        <v>113</v>
      </c>
      <c r="D2" t="s">
        <v>114</v>
      </c>
      <c r="E2" t="s">
        <v>115</v>
      </c>
    </row>
    <row r="3" spans="1:5" x14ac:dyDescent="0.25">
      <c r="A3" t="s">
        <v>116</v>
      </c>
      <c r="B3" t="s">
        <v>160</v>
      </c>
      <c r="C3" t="s">
        <v>127</v>
      </c>
      <c r="D3" t="s">
        <v>139</v>
      </c>
      <c r="E3" t="s">
        <v>152</v>
      </c>
    </row>
    <row r="4" spans="1:5" x14ac:dyDescent="0.25">
      <c r="A4" t="s">
        <v>52</v>
      </c>
      <c r="B4" t="s">
        <v>161</v>
      </c>
      <c r="C4" t="s">
        <v>128</v>
      </c>
      <c r="D4" t="s">
        <v>140</v>
      </c>
      <c r="E4" t="s">
        <v>152</v>
      </c>
    </row>
    <row r="5" spans="1:5" x14ac:dyDescent="0.25">
      <c r="A5" t="s">
        <v>117</v>
      </c>
      <c r="B5" t="s">
        <v>162</v>
      </c>
      <c r="C5" t="s">
        <v>127</v>
      </c>
      <c r="D5" t="s">
        <v>141</v>
      </c>
      <c r="E5" t="s">
        <v>153</v>
      </c>
    </row>
    <row r="6" spans="1:5" x14ac:dyDescent="0.25">
      <c r="A6" t="s">
        <v>118</v>
      </c>
      <c r="B6" t="s">
        <v>163</v>
      </c>
      <c r="C6" t="s">
        <v>129</v>
      </c>
      <c r="D6" t="s">
        <v>142</v>
      </c>
      <c r="E6" t="s">
        <v>152</v>
      </c>
    </row>
    <row r="7" spans="1:5" x14ac:dyDescent="0.25">
      <c r="A7" t="s">
        <v>55</v>
      </c>
      <c r="B7" t="s">
        <v>164</v>
      </c>
      <c r="C7" t="s">
        <v>130</v>
      </c>
      <c r="D7" t="s">
        <v>143</v>
      </c>
      <c r="E7" t="s">
        <v>152</v>
      </c>
    </row>
    <row r="8" spans="1:5" x14ac:dyDescent="0.25">
      <c r="A8" t="s">
        <v>54</v>
      </c>
      <c r="B8" t="s">
        <v>165</v>
      </c>
      <c r="C8" t="s">
        <v>127</v>
      </c>
      <c r="D8" t="s">
        <v>144</v>
      </c>
      <c r="E8" t="s">
        <v>154</v>
      </c>
    </row>
    <row r="9" spans="1:5" x14ac:dyDescent="0.25">
      <c r="A9" t="s">
        <v>119</v>
      </c>
      <c r="B9" t="s">
        <v>166</v>
      </c>
      <c r="C9" t="s">
        <v>131</v>
      </c>
      <c r="D9" t="s">
        <v>145</v>
      </c>
      <c r="E9" t="s">
        <v>152</v>
      </c>
    </row>
    <row r="10" spans="1:5" x14ac:dyDescent="0.25">
      <c r="A10" t="s">
        <v>120</v>
      </c>
      <c r="B10" t="s">
        <v>167</v>
      </c>
      <c r="C10" t="s">
        <v>132</v>
      </c>
      <c r="D10" t="s">
        <v>146</v>
      </c>
      <c r="E10" t="s">
        <v>152</v>
      </c>
    </row>
    <row r="11" spans="1:5" x14ac:dyDescent="0.25">
      <c r="A11" t="s">
        <v>121</v>
      </c>
      <c r="B11" t="s">
        <v>168</v>
      </c>
      <c r="C11" t="s">
        <v>133</v>
      </c>
      <c r="D11" t="s">
        <v>147</v>
      </c>
      <c r="E11" t="s">
        <v>155</v>
      </c>
    </row>
    <row r="12" spans="1:5" x14ac:dyDescent="0.25">
      <c r="A12" t="s">
        <v>53</v>
      </c>
      <c r="B12" t="s">
        <v>169</v>
      </c>
      <c r="C12" t="s">
        <v>134</v>
      </c>
      <c r="D12" t="s">
        <v>148</v>
      </c>
      <c r="E12" t="s">
        <v>156</v>
      </c>
    </row>
    <row r="13" spans="1:5" x14ac:dyDescent="0.25">
      <c r="A13" t="s">
        <v>122</v>
      </c>
      <c r="B13" t="s">
        <v>170</v>
      </c>
      <c r="C13" t="s">
        <v>135</v>
      </c>
      <c r="D13" t="s">
        <v>142</v>
      </c>
      <c r="E13" t="s">
        <v>152</v>
      </c>
    </row>
    <row r="14" spans="1:5" x14ac:dyDescent="0.25">
      <c r="A14" t="s">
        <v>123</v>
      </c>
      <c r="B14" t="s">
        <v>171</v>
      </c>
      <c r="C14" t="s">
        <v>136</v>
      </c>
      <c r="D14" t="s">
        <v>140</v>
      </c>
      <c r="E14" t="s">
        <v>152</v>
      </c>
    </row>
    <row r="15" spans="1:5" x14ac:dyDescent="0.25">
      <c r="A15" t="s">
        <v>124</v>
      </c>
      <c r="B15" t="s">
        <v>172</v>
      </c>
      <c r="C15" t="s">
        <v>127</v>
      </c>
      <c r="D15" t="s">
        <v>149</v>
      </c>
      <c r="E15" t="s">
        <v>157</v>
      </c>
    </row>
    <row r="16" spans="1:5" x14ac:dyDescent="0.25">
      <c r="A16" t="s">
        <v>125</v>
      </c>
      <c r="B16" t="s">
        <v>173</v>
      </c>
      <c r="C16" t="s">
        <v>137</v>
      </c>
      <c r="D16" t="s">
        <v>150</v>
      </c>
      <c r="E16" t="s">
        <v>158</v>
      </c>
    </row>
    <row r="17" spans="1:5" x14ac:dyDescent="0.25">
      <c r="A17" t="s">
        <v>126</v>
      </c>
      <c r="B17" t="s">
        <v>174</v>
      </c>
      <c r="C17" t="s">
        <v>138</v>
      </c>
      <c r="D17" t="s">
        <v>151</v>
      </c>
      <c r="E17" t="s">
        <v>159</v>
      </c>
    </row>
    <row r="19" spans="1:5" x14ac:dyDescent="0.25">
      <c r="A19" s="85" t="s">
        <v>98</v>
      </c>
      <c r="B19" s="48" t="s">
        <v>121</v>
      </c>
    </row>
    <row r="20" spans="1:5" x14ac:dyDescent="0.25">
      <c r="A20" s="85" t="s">
        <v>112</v>
      </c>
      <c r="B20" s="48" t="str">
        <f>VLOOKUP($B$19,$A$3:$E$17,2,0)</f>
        <v>Av. dos Jequitibas, 11</v>
      </c>
    </row>
    <row r="21" spans="1:5" x14ac:dyDescent="0.25">
      <c r="A21" s="85" t="s">
        <v>113</v>
      </c>
      <c r="B21" s="48" t="str">
        <f>VLOOKUP($B$19,$A$3:$E$17,3,0)</f>
        <v>Jd. Paulista</v>
      </c>
    </row>
    <row r="22" spans="1:5" x14ac:dyDescent="0.25">
      <c r="A22" s="85" t="s">
        <v>175</v>
      </c>
      <c r="B22" s="48" t="str">
        <f>VLOOKUP($B$19,$A$3:$E$17,4,0)</f>
        <v>Florianópolis</v>
      </c>
    </row>
    <row r="23" spans="1:5" x14ac:dyDescent="0.25">
      <c r="A23" s="85" t="s">
        <v>115</v>
      </c>
      <c r="B23" s="48" t="str">
        <f>VLOOKUP($B$19,$A$3:$E$17,5,0)</f>
        <v>SC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1556-6FFC-44AF-85D5-5C02E20B2F39}">
  <dimension ref="A1:E9"/>
  <sheetViews>
    <sheetView workbookViewId="0">
      <selection activeCell="G9" sqref="G9"/>
    </sheetView>
  </sheetViews>
  <sheetFormatPr defaultRowHeight="15" x14ac:dyDescent="0.25"/>
  <cols>
    <col min="1" max="1" width="16.85546875" customWidth="1"/>
    <col min="2" max="3" width="15.42578125" customWidth="1"/>
    <col min="4" max="4" width="14.140625" customWidth="1"/>
    <col min="5" max="5" width="20.28515625" customWidth="1"/>
  </cols>
  <sheetData>
    <row r="1" spans="1:5" ht="21" x14ac:dyDescent="0.35">
      <c r="A1" s="87" t="s">
        <v>180</v>
      </c>
      <c r="B1" s="87"/>
      <c r="C1" s="87"/>
      <c r="D1" s="87"/>
      <c r="E1" s="87"/>
    </row>
    <row r="2" spans="1:5" x14ac:dyDescent="0.25">
      <c r="A2" s="89"/>
      <c r="B2" s="45"/>
      <c r="C2" s="45"/>
      <c r="D2" s="45"/>
      <c r="E2" s="90"/>
    </row>
    <row r="3" spans="1:5" ht="18.75" x14ac:dyDescent="0.3">
      <c r="A3" s="88" t="s">
        <v>181</v>
      </c>
      <c r="B3" s="88"/>
      <c r="C3" s="88"/>
      <c r="D3" s="88"/>
      <c r="E3" s="88"/>
    </row>
    <row r="4" spans="1:5" x14ac:dyDescent="0.25">
      <c r="A4" s="47" t="s">
        <v>182</v>
      </c>
      <c r="B4" s="47" t="s">
        <v>183</v>
      </c>
      <c r="C4" s="47" t="s">
        <v>184</v>
      </c>
      <c r="D4" s="47" t="s">
        <v>186</v>
      </c>
      <c r="E4" s="47" t="s">
        <v>185</v>
      </c>
    </row>
    <row r="5" spans="1:5" x14ac:dyDescent="0.25">
      <c r="A5" s="47" t="s">
        <v>187</v>
      </c>
      <c r="B5" s="49">
        <v>24000</v>
      </c>
      <c r="C5" s="49">
        <v>22980</v>
      </c>
      <c r="D5" s="49">
        <v>23900.799999999999</v>
      </c>
      <c r="E5" s="49">
        <v>23000</v>
      </c>
    </row>
    <row r="6" spans="1:5" x14ac:dyDescent="0.25">
      <c r="A6" s="47" t="s">
        <v>188</v>
      </c>
      <c r="B6" s="49">
        <v>24120</v>
      </c>
      <c r="C6" s="49">
        <v>23014</v>
      </c>
      <c r="D6" s="49">
        <v>24019</v>
      </c>
      <c r="E6" s="49">
        <v>23115</v>
      </c>
    </row>
    <row r="7" spans="1:5" x14ac:dyDescent="0.25">
      <c r="A7" s="47" t="s">
        <v>189</v>
      </c>
      <c r="B7" s="49">
        <v>24240</v>
      </c>
      <c r="C7" s="49">
        <v>23129.57</v>
      </c>
      <c r="D7" s="49">
        <v>14139.6</v>
      </c>
      <c r="E7" s="49">
        <v>23230.58</v>
      </c>
    </row>
    <row r="8" spans="1:5" x14ac:dyDescent="0.25">
      <c r="A8" s="47" t="s">
        <v>190</v>
      </c>
      <c r="B8" s="49">
        <v>24361</v>
      </c>
      <c r="C8" s="49">
        <v>23254</v>
      </c>
      <c r="D8" s="49">
        <v>24260</v>
      </c>
      <c r="E8" s="49">
        <v>23346.73</v>
      </c>
    </row>
    <row r="9" spans="1:5" x14ac:dyDescent="0.25">
      <c r="A9" s="47" t="s">
        <v>191</v>
      </c>
      <c r="B9" s="49">
        <v>24483</v>
      </c>
      <c r="C9" s="49">
        <v>23361.45</v>
      </c>
      <c r="D9" s="49">
        <v>24381</v>
      </c>
      <c r="E9" s="49">
        <v>23463.46</v>
      </c>
    </row>
  </sheetData>
  <mergeCells count="3">
    <mergeCell ref="A3:E3"/>
    <mergeCell ref="A1:E1"/>
    <mergeCell ref="A2:E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1E79-FFFB-45F9-93C8-679DA4EBEF62}">
  <dimension ref="A1:H19"/>
  <sheetViews>
    <sheetView tabSelected="1" topLeftCell="A10" workbookViewId="0">
      <selection activeCell="L21" sqref="L21"/>
    </sheetView>
  </sheetViews>
  <sheetFormatPr defaultRowHeight="15" x14ac:dyDescent="0.25"/>
  <cols>
    <col min="1" max="1" width="16" bestFit="1" customWidth="1"/>
    <col min="2" max="2" width="10.28515625" customWidth="1"/>
    <col min="3" max="4" width="9.5703125" bestFit="1" customWidth="1"/>
    <col min="5" max="5" width="12.140625" bestFit="1" customWidth="1"/>
    <col min="7" max="7" width="9.85546875" customWidth="1"/>
    <col min="8" max="8" width="10.28515625" bestFit="1" customWidth="1"/>
  </cols>
  <sheetData>
    <row r="1" spans="1:8" ht="15.75" thickBot="1" x14ac:dyDescent="0.3">
      <c r="A1" s="41" t="s">
        <v>192</v>
      </c>
      <c r="B1" s="42"/>
      <c r="C1" s="42"/>
      <c r="D1" s="42"/>
      <c r="E1" s="42"/>
      <c r="F1" s="42"/>
      <c r="G1" s="42"/>
      <c r="H1" s="43"/>
    </row>
    <row r="2" spans="1:8" ht="15.75" thickBot="1" x14ac:dyDescent="0.3"/>
    <row r="3" spans="1:8" ht="30" customHeight="1" thickBot="1" x14ac:dyDescent="0.3">
      <c r="A3" s="106" t="s">
        <v>193</v>
      </c>
      <c r="B3" s="107">
        <v>0.125</v>
      </c>
      <c r="D3" s="112" t="s">
        <v>211</v>
      </c>
      <c r="E3" s="113"/>
      <c r="F3" s="113"/>
      <c r="G3" s="113"/>
      <c r="H3" s="114"/>
    </row>
    <row r="4" spans="1:8" ht="12" customHeight="1" x14ac:dyDescent="0.25">
      <c r="A4" s="108"/>
      <c r="B4" s="109"/>
      <c r="D4" s="91"/>
      <c r="E4" s="91"/>
      <c r="F4" s="91"/>
      <c r="G4" s="91"/>
      <c r="H4" s="91"/>
    </row>
    <row r="5" spans="1:8" ht="15.75" thickBot="1" x14ac:dyDescent="0.3">
      <c r="A5" s="110" t="s">
        <v>61</v>
      </c>
      <c r="B5" s="111">
        <v>3.34</v>
      </c>
    </row>
    <row r="6" spans="1:8" x14ac:dyDescent="0.25">
      <c r="C6" s="92" t="s">
        <v>209</v>
      </c>
      <c r="D6" s="92"/>
      <c r="E6" s="50"/>
      <c r="F6" s="50" t="s">
        <v>210</v>
      </c>
      <c r="G6" s="50"/>
      <c r="H6" s="50"/>
    </row>
    <row r="7" spans="1:8" x14ac:dyDescent="0.25">
      <c r="A7" s="64" t="s">
        <v>2</v>
      </c>
      <c r="B7" s="82" t="s">
        <v>204</v>
      </c>
      <c r="C7" s="82" t="s">
        <v>205</v>
      </c>
      <c r="D7" s="82" t="s">
        <v>206</v>
      </c>
      <c r="E7" s="82" t="s">
        <v>207</v>
      </c>
      <c r="F7" s="82" t="s">
        <v>208</v>
      </c>
      <c r="G7" s="82" t="s">
        <v>212</v>
      </c>
      <c r="H7" s="63" t="s">
        <v>213</v>
      </c>
    </row>
    <row r="8" spans="1:8" x14ac:dyDescent="0.25">
      <c r="A8" s="96" t="s">
        <v>194</v>
      </c>
      <c r="B8" s="86">
        <v>500</v>
      </c>
      <c r="C8" s="79">
        <v>0.5</v>
      </c>
      <c r="D8" s="79">
        <v>0.55000000000000004</v>
      </c>
      <c r="E8" s="79">
        <f>B8*D8</f>
        <v>275</v>
      </c>
      <c r="F8" s="93">
        <f>C8/$B$5</f>
        <v>0.14970059880239522</v>
      </c>
      <c r="G8" s="93">
        <f>F8*(1+$B$3)</f>
        <v>0.16841317365269462</v>
      </c>
      <c r="H8" s="98">
        <f>G8*B8</f>
        <v>84.206586826347305</v>
      </c>
    </row>
    <row r="9" spans="1:8" x14ac:dyDescent="0.25">
      <c r="A9" s="96" t="s">
        <v>195</v>
      </c>
      <c r="B9" s="86">
        <v>200</v>
      </c>
      <c r="C9" s="79">
        <v>2.57</v>
      </c>
      <c r="D9" s="79">
        <v>2.7</v>
      </c>
      <c r="E9" s="79">
        <f>B9*D9</f>
        <v>540</v>
      </c>
      <c r="F9" s="93">
        <f t="shared" ref="F9:F18" si="0">C9/$B$5</f>
        <v>0.76946107784431139</v>
      </c>
      <c r="G9" s="93">
        <f t="shared" ref="G9:G18" si="1">F9*(1+$B$3)</f>
        <v>0.86564371257485029</v>
      </c>
      <c r="H9" s="98">
        <f t="shared" ref="H9:H18" si="2">G9*B9</f>
        <v>173.12874251497007</v>
      </c>
    </row>
    <row r="10" spans="1:8" x14ac:dyDescent="0.25">
      <c r="A10" s="96" t="s">
        <v>196</v>
      </c>
      <c r="B10" s="86">
        <v>300</v>
      </c>
      <c r="C10" s="79">
        <v>5</v>
      </c>
      <c r="D10" s="79">
        <v>5.5</v>
      </c>
      <c r="E10" s="79">
        <f>B10*D10</f>
        <v>1650</v>
      </c>
      <c r="F10" s="93">
        <f t="shared" si="0"/>
        <v>1.4970059880239521</v>
      </c>
      <c r="G10" s="93">
        <f t="shared" si="1"/>
        <v>1.6841317365269461</v>
      </c>
      <c r="H10" s="98">
        <f t="shared" si="2"/>
        <v>505.23952095808386</v>
      </c>
    </row>
    <row r="11" spans="1:8" x14ac:dyDescent="0.25">
      <c r="A11" s="96" t="s">
        <v>67</v>
      </c>
      <c r="B11" s="86">
        <v>1000</v>
      </c>
      <c r="C11" s="79">
        <v>0.15</v>
      </c>
      <c r="D11" s="79">
        <v>0.25</v>
      </c>
      <c r="E11" s="79">
        <f t="shared" ref="E11:E18" si="3">B11*D11</f>
        <v>250</v>
      </c>
      <c r="F11" s="93">
        <f t="shared" si="0"/>
        <v>4.4910179640718563E-2</v>
      </c>
      <c r="G11" s="93">
        <f t="shared" si="1"/>
        <v>5.0523952095808386E-2</v>
      </c>
      <c r="H11" s="98">
        <f t="shared" si="2"/>
        <v>50.523952095808383</v>
      </c>
    </row>
    <row r="12" spans="1:8" x14ac:dyDescent="0.25">
      <c r="A12" s="96" t="s">
        <v>68</v>
      </c>
      <c r="B12" s="86">
        <v>1000</v>
      </c>
      <c r="C12" s="79">
        <v>0.15</v>
      </c>
      <c r="D12" s="79">
        <v>0.25</v>
      </c>
      <c r="E12" s="79">
        <f t="shared" si="3"/>
        <v>250</v>
      </c>
      <c r="F12" s="93">
        <f t="shared" si="0"/>
        <v>4.4910179640718563E-2</v>
      </c>
      <c r="G12" s="93">
        <f t="shared" si="1"/>
        <v>5.0523952095808386E-2</v>
      </c>
      <c r="H12" s="98">
        <f t="shared" si="2"/>
        <v>50.523952095808383</v>
      </c>
    </row>
    <row r="13" spans="1:8" x14ac:dyDescent="0.25">
      <c r="A13" s="96" t="s">
        <v>197</v>
      </c>
      <c r="B13" s="86">
        <v>200</v>
      </c>
      <c r="C13" s="79">
        <v>3</v>
      </c>
      <c r="D13" s="79">
        <v>3.5</v>
      </c>
      <c r="E13" s="79">
        <f t="shared" si="3"/>
        <v>700</v>
      </c>
      <c r="F13" s="93">
        <f t="shared" si="0"/>
        <v>0.89820359281437134</v>
      </c>
      <c r="G13" s="93">
        <f t="shared" si="1"/>
        <v>1.0104790419161678</v>
      </c>
      <c r="H13" s="98">
        <f t="shared" si="2"/>
        <v>202.09580838323356</v>
      </c>
    </row>
    <row r="14" spans="1:8" x14ac:dyDescent="0.25">
      <c r="A14" s="96" t="s">
        <v>198</v>
      </c>
      <c r="B14" s="86">
        <v>500</v>
      </c>
      <c r="C14" s="79">
        <v>0.25</v>
      </c>
      <c r="D14" s="79">
        <v>0.3</v>
      </c>
      <c r="E14" s="79">
        <f t="shared" si="3"/>
        <v>150</v>
      </c>
      <c r="F14" s="93">
        <f t="shared" si="0"/>
        <v>7.4850299401197612E-2</v>
      </c>
      <c r="G14" s="93">
        <f t="shared" si="1"/>
        <v>8.420658682634731E-2</v>
      </c>
      <c r="H14" s="98">
        <f t="shared" si="2"/>
        <v>42.103293413173652</v>
      </c>
    </row>
    <row r="15" spans="1:8" x14ac:dyDescent="0.25">
      <c r="A15" s="96" t="s">
        <v>199</v>
      </c>
      <c r="B15" s="86">
        <v>500</v>
      </c>
      <c r="C15" s="79">
        <v>0.35</v>
      </c>
      <c r="D15" s="79">
        <v>0.45</v>
      </c>
      <c r="E15" s="79">
        <f t="shared" si="3"/>
        <v>225</v>
      </c>
      <c r="F15" s="93">
        <f t="shared" si="0"/>
        <v>0.10479041916167664</v>
      </c>
      <c r="G15" s="93">
        <f t="shared" si="1"/>
        <v>0.11788922155688622</v>
      </c>
      <c r="H15" s="98">
        <f t="shared" si="2"/>
        <v>58.944610778443113</v>
      </c>
    </row>
    <row r="16" spans="1:8" x14ac:dyDescent="0.25">
      <c r="A16" s="96" t="s">
        <v>200</v>
      </c>
      <c r="B16" s="86">
        <v>50</v>
      </c>
      <c r="C16" s="79">
        <v>6</v>
      </c>
      <c r="D16" s="79">
        <v>6.5</v>
      </c>
      <c r="E16" s="79">
        <f t="shared" si="3"/>
        <v>325</v>
      </c>
      <c r="F16" s="93">
        <f t="shared" si="0"/>
        <v>1.7964071856287427</v>
      </c>
      <c r="G16" s="93">
        <f t="shared" si="1"/>
        <v>2.0209580838323356</v>
      </c>
      <c r="H16" s="98">
        <f t="shared" si="2"/>
        <v>101.04790419161678</v>
      </c>
    </row>
    <row r="17" spans="1:8" x14ac:dyDescent="0.25">
      <c r="A17" s="96" t="s">
        <v>201</v>
      </c>
      <c r="B17" s="86">
        <v>100</v>
      </c>
      <c r="C17" s="79">
        <v>3.14</v>
      </c>
      <c r="D17" s="79">
        <v>4</v>
      </c>
      <c r="E17" s="79">
        <f t="shared" si="3"/>
        <v>400</v>
      </c>
      <c r="F17" s="93">
        <f t="shared" si="0"/>
        <v>0.940119760479042</v>
      </c>
      <c r="G17" s="93">
        <f t="shared" si="1"/>
        <v>1.0576347305389222</v>
      </c>
      <c r="H17" s="98">
        <f t="shared" si="2"/>
        <v>105.76347305389223</v>
      </c>
    </row>
    <row r="18" spans="1:8" x14ac:dyDescent="0.25">
      <c r="A18" s="97" t="s">
        <v>202</v>
      </c>
      <c r="B18" s="95">
        <v>100</v>
      </c>
      <c r="C18" s="83">
        <v>5.68</v>
      </c>
      <c r="D18" s="83">
        <v>6</v>
      </c>
      <c r="E18" s="83">
        <f t="shared" si="3"/>
        <v>600</v>
      </c>
      <c r="F18" s="94">
        <f t="shared" si="0"/>
        <v>1.7005988023952097</v>
      </c>
      <c r="G18" s="94">
        <f t="shared" si="1"/>
        <v>1.9131736526946108</v>
      </c>
      <c r="H18" s="99">
        <f t="shared" si="2"/>
        <v>191.31736526946108</v>
      </c>
    </row>
    <row r="19" spans="1:8" ht="15.75" thickBot="1" x14ac:dyDescent="0.3">
      <c r="A19" s="100" t="s">
        <v>203</v>
      </c>
      <c r="B19" s="101">
        <f>SUM(B8:B18)</f>
        <v>4450</v>
      </c>
      <c r="C19" s="102">
        <f>SUM(C8:C18)</f>
        <v>26.79</v>
      </c>
      <c r="D19" s="102">
        <f>SUM(D8:D18)</f>
        <v>30</v>
      </c>
      <c r="E19" s="103">
        <f>SUM(E8:E18)</f>
        <v>5365</v>
      </c>
      <c r="F19" s="104">
        <f>SUM(F8:F18)</f>
        <v>8.0209580838323351</v>
      </c>
      <c r="G19" s="104">
        <f>SUM(G8:G18)</f>
        <v>9.0235778443113794</v>
      </c>
      <c r="H19" s="105">
        <f>SUM(H8:H18)</f>
        <v>1564.8952095808384</v>
      </c>
    </row>
  </sheetData>
  <mergeCells count="4">
    <mergeCell ref="C6:E6"/>
    <mergeCell ref="F6:H6"/>
    <mergeCell ref="A1:H1"/>
    <mergeCell ref="D3:H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Exercício 1 </vt:lpstr>
      <vt:lpstr>Exercício 2</vt:lpstr>
      <vt:lpstr>Exercício 3</vt:lpstr>
      <vt:lpstr>Exercício 4</vt:lpstr>
      <vt:lpstr>Exercício 5</vt:lpstr>
      <vt:lpstr>Exercício 6</vt:lpstr>
      <vt:lpstr>Exercício 7</vt:lpstr>
      <vt:lpstr>Exercício 8</vt:lpstr>
      <vt:lpstr>Exercício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2026-03-06T14:04:37Z</dcterms:created>
  <dcterms:modified xsi:type="dcterms:W3CDTF">2026-03-10T15:08:36Z</dcterms:modified>
</cp:coreProperties>
</file>